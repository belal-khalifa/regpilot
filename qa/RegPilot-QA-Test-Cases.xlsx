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Document pack" sheetId="4" state="visible" r:id="rId4"/>
    <sheet name="Data audit" sheetId="5" state="visible" r:id="rId5"/>
    <sheet name="Known limits" sheetId="6" state="visible" r:id="rId6"/>
  </sheets>
  <definedNames>
    <definedName name="_xlnm._FilterDatabase" localSheetId="2" hidden="1">'Test cases'!$A$1:$K$182</definedName>
    <definedName name="_xlnm.Print_Titles" localSheetId="2">'Test cases'!$1:$1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6"/>
    </font>
    <font>
      <name val="Arial"/>
      <color rgb="00555555"/>
      <sz val="10"/>
    </font>
  </fonts>
  <fills count="5">
    <fill>
      <patternFill/>
    </fill>
    <fill>
      <patternFill patternType="gray125"/>
    </fill>
    <fill>
      <patternFill patternType="solid">
        <fgColor rgb="001D1D1F"/>
      </patternFill>
    </fill>
    <fill>
      <patternFill patternType="solid">
        <fgColor rgb="00FFF9C4"/>
      </patternFill>
    </fill>
    <fill>
      <patternFill patternType="solid">
        <fgColor rgb="00E8EE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9" fontId="2" fillId="4" borderId="1" applyAlignment="1" pivotButton="0" quotePrefix="0" xfId="0">
      <alignment horizontal="center" vertical="center" wrapText="1"/>
    </xf>
    <xf numFmtId="0" fontId="1" fillId="2" borderId="1" applyAlignment="1" pivotButton="0" quotePrefix="0" xfId="0">
      <alignment vertical="center"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cellXfs>
  <cellStyles count="1">
    <cellStyle name="Normal" xfId="0" builtinId="0" hidden="0"/>
  </cellStyles>
  <dxfs count="3">
    <dxf>
      <fill>
        <patternFill patternType="solid">
          <fgColor rgb="00C8E6C9"/>
          <bgColor rgb="00C8E6C9"/>
        </patternFill>
      </fill>
    </dxf>
    <dxf>
      <fill>
        <patternFill patternType="solid">
          <fgColor rgb="00FFCDD2"/>
          <bgColor rgb="00FFCDD2"/>
        </patternFill>
      </fill>
    </dxf>
    <dxf>
      <fill>
        <patternFill patternType="solid">
          <fgColor rgb="00FFE0B2"/>
          <bgColor rgb="00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2">
      <c r="B2" s="1" t="inlineStr">
        <is>
          <t>RegPilot QA test cases</t>
        </is>
      </c>
    </row>
    <row r="3">
      <c r="B3" s="2" t="inlineStr">
        <is>
          <t>Written from everything built and learned so far: web app, AI extraction, review screen, extension and Montaji behaviour.</t>
        </is>
      </c>
    </row>
    <row r="5">
      <c r="B5" s="3" t="inlineStr">
        <is>
          <t>How to use</t>
        </is>
      </c>
      <c r="C5" s="4" t="inlineStr">
        <is>
          <t>Work through the "Test cases" sheet top to bottom, P1 first. For each case set Result (Pass / Fail / Blocked), write what you saw in "Tester notes", and put the fix reference or date when we resolve it. Send me the sheet or just the failed rows and we fix on the go.</t>
        </is>
      </c>
    </row>
    <row r="6">
      <c r="B6" s="3" t="inlineStr">
        <is>
          <t>Yellow cells</t>
        </is>
      </c>
      <c r="C6" s="4" t="inlineStr">
        <is>
          <t>These are the only cells you edit: Result, Tester notes, Bug / fix reference and Date tested (Test cases), the value columns (Data audit).</t>
        </is>
      </c>
    </row>
    <row r="7">
      <c r="B7" s="3" t="inlineStr">
        <is>
          <t>Priority</t>
        </is>
      </c>
      <c r="C7" s="4" t="inlineStr">
        <is>
          <t>P1 = must pass before real use. P2 = important. P3 = edge case or nice to have.</t>
        </is>
      </c>
    </row>
    <row r="8">
      <c r="B8" s="3" t="inlineStr">
        <is>
          <t>Result values</t>
        </is>
      </c>
      <c r="C8" s="4" t="inlineStr">
        <is>
          <t>Not run (default) | Pass | Fail | Blocked (cannot test yet, e.g. portal down or document missing).</t>
        </is>
      </c>
    </row>
    <row r="9">
      <c r="B9" s="3" t="inlineStr">
        <is>
          <t>Documents</t>
        </is>
      </c>
      <c r="C9" s="4" t="inlineStr">
        <is>
          <t>The "Documents / data needed" column and the "Document pack" sheet say which real document sets to collect. One set can serve many cases.</t>
        </is>
      </c>
    </row>
    <row r="10">
      <c r="B10" s="3" t="inlineStr">
        <is>
          <t>Data audit</t>
        </is>
      </c>
      <c r="C10" s="4" t="inlineStr">
        <is>
          <t>After any end-to-end run, use the "Data audit" sheet to compare RegPilot values with what is on Montaji, field by field. Copy a block for each product.</t>
        </is>
      </c>
    </row>
    <row r="11">
      <c r="B11" s="3" t="inlineStr">
        <is>
          <t>Known limits</t>
        </is>
      </c>
      <c r="C11" s="4" t="inlineStr">
        <is>
          <t>The "Known limits" sheet lists things we already know are missing, so you do not log them as bugs (log them only if they behave worse than described).</t>
        </is>
      </c>
    </row>
    <row r="12">
      <c r="B12" s="3" t="inlineStr">
        <is>
          <t>Safety</t>
        </is>
      </c>
      <c r="C12" s="4" t="inlineStr">
        <is>
          <t>Test only on DM STACEY ACCOUNT. Never press Submit. Delete your test drafts afterwards. Do not click on Montaji while a fill is running. After every extension reload refresh both the RegPilot and the Montaji tabs.</t>
        </is>
      </c>
    </row>
    <row r="13">
      <c r="B13" s="3" t="inlineStr">
        <is>
          <t>Example row</t>
        </is>
      </c>
      <c r="C13" s="4" t="inlineStr">
        <is>
          <t>ID EXT-01 | Scenario "Complete set, single variant" | Result: Fail | Notes: "Barcode last digit wrong: label 6294019034727, extracted 6294019034723" | Fix ref: "Extraction prompt, 17 Oct".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6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Progress summary</t>
        </is>
      </c>
    </row>
    <row r="2">
      <c r="A2" s="2" t="inlineStr">
        <is>
          <t>Counts update by themselves from the Result column on the Test cases sheet.</t>
        </is>
      </c>
    </row>
    <row r="4">
      <c r="A4" s="5" t="inlineStr">
        <is>
          <t>Area</t>
        </is>
      </c>
      <c r="B4" s="5" t="inlineStr">
        <is>
          <t>Cases</t>
        </is>
      </c>
      <c r="C4" s="5" t="inlineStr">
        <is>
          <t>Pass</t>
        </is>
      </c>
      <c r="D4" s="5" t="inlineStr">
        <is>
          <t>Fail</t>
        </is>
      </c>
      <c r="E4" s="5" t="inlineStr">
        <is>
          <t>Blocked</t>
        </is>
      </c>
      <c r="F4" s="5" t="inlineStr">
        <is>
          <t>Not run</t>
        </is>
      </c>
      <c r="G4" s="5" t="inlineStr">
        <is>
          <t>% done</t>
        </is>
      </c>
      <c r="H4" s="5" t="inlineStr">
        <is>
          <t>P1 cases</t>
        </is>
      </c>
      <c r="I4" s="5" t="inlineStr">
        <is>
          <t>P1 passed</t>
        </is>
      </c>
    </row>
    <row r="5">
      <c r="A5" s="6" t="inlineStr">
        <is>
          <t>Accounts &amp; companies</t>
        </is>
      </c>
      <c r="B5" s="7">
        <f>COUNTIFS('Test cases'!$B$2:$B$182,$A5)</f>
        <v/>
      </c>
      <c r="C5" s="7">
        <f>COUNTIFS('Test cases'!$B$2:$B$182,$A5,'Test cases'!$H$2:$H$182,"Pass")</f>
        <v/>
      </c>
      <c r="D5" s="7">
        <f>COUNTIFS('Test cases'!$B$2:$B$182,$A5,'Test cases'!$H$2:$H$182,"Fail")</f>
        <v/>
      </c>
      <c r="E5" s="7">
        <f>COUNTIFS('Test cases'!$B$2:$B$182,$A5,'Test cases'!$H$2:$H$182,"Blocked")</f>
        <v/>
      </c>
      <c r="F5" s="7">
        <f>COUNTIFS('Test cases'!$B$2:$B$182,$A5,'Test cases'!$H$2:$H$182,"Not run")</f>
        <v/>
      </c>
      <c r="G5" s="8">
        <f>IF(B5=0,0,(C5+D5+E5)/B5)</f>
        <v/>
      </c>
      <c r="H5" s="7">
        <f>COUNTIFS('Test cases'!$B$2:$B$182,$A5,'Test cases'!$C$2:$C$182,"P1")</f>
        <v/>
      </c>
      <c r="I5" s="7">
        <f>COUNTIFS('Test cases'!$B$2:$B$182,$A5,'Test cases'!$C$2:$C$182,"P1",'Test cases'!$H$2:$H$182,"Pass")</f>
        <v/>
      </c>
    </row>
    <row r="6">
      <c r="A6" s="6" t="inlineStr">
        <is>
          <t>Product creation &amp; documents</t>
        </is>
      </c>
      <c r="B6" s="7">
        <f>COUNTIFS('Test cases'!$B$2:$B$182,$A6)</f>
        <v/>
      </c>
      <c r="C6" s="7">
        <f>COUNTIFS('Test cases'!$B$2:$B$182,$A6,'Test cases'!$H$2:$H$182,"Pass")</f>
        <v/>
      </c>
      <c r="D6" s="7">
        <f>COUNTIFS('Test cases'!$B$2:$B$182,$A6,'Test cases'!$H$2:$H$182,"Fail")</f>
        <v/>
      </c>
      <c r="E6" s="7">
        <f>COUNTIFS('Test cases'!$B$2:$B$182,$A6,'Test cases'!$H$2:$H$182,"Blocked")</f>
        <v/>
      </c>
      <c r="F6" s="7">
        <f>COUNTIFS('Test cases'!$B$2:$B$182,$A6,'Test cases'!$H$2:$H$182,"Not run")</f>
        <v/>
      </c>
      <c r="G6" s="8">
        <f>IF(B6=0,0,(C6+D6+E6)/B6)</f>
        <v/>
      </c>
      <c r="H6" s="7">
        <f>COUNTIFS('Test cases'!$B$2:$B$182,$A6,'Test cases'!$C$2:$C$182,"P1")</f>
        <v/>
      </c>
      <c r="I6" s="7">
        <f>COUNTIFS('Test cases'!$B$2:$B$182,$A6,'Test cases'!$C$2:$C$182,"P1",'Test cases'!$H$2:$H$182,"Pass")</f>
        <v/>
      </c>
    </row>
    <row r="7">
      <c r="A7" s="6" t="inlineStr">
        <is>
          <t>AI extraction accuracy (real documents)</t>
        </is>
      </c>
      <c r="B7" s="7">
        <f>COUNTIFS('Test cases'!$B$2:$B$182,$A7)</f>
        <v/>
      </c>
      <c r="C7" s="7">
        <f>COUNTIFS('Test cases'!$B$2:$B$182,$A7,'Test cases'!$H$2:$H$182,"Pass")</f>
        <v/>
      </c>
      <c r="D7" s="7">
        <f>COUNTIFS('Test cases'!$B$2:$B$182,$A7,'Test cases'!$H$2:$H$182,"Fail")</f>
        <v/>
      </c>
      <c r="E7" s="7">
        <f>COUNTIFS('Test cases'!$B$2:$B$182,$A7,'Test cases'!$H$2:$H$182,"Blocked")</f>
        <v/>
      </c>
      <c r="F7" s="7">
        <f>COUNTIFS('Test cases'!$B$2:$B$182,$A7,'Test cases'!$H$2:$H$182,"Not run")</f>
        <v/>
      </c>
      <c r="G7" s="8">
        <f>IF(B7=0,0,(C7+D7+E7)/B7)</f>
        <v/>
      </c>
      <c r="H7" s="7">
        <f>COUNTIFS('Test cases'!$B$2:$B$182,$A7,'Test cases'!$C$2:$C$182,"P1")</f>
        <v/>
      </c>
      <c r="I7" s="7">
        <f>COUNTIFS('Test cases'!$B$2:$B$182,$A7,'Test cases'!$C$2:$C$182,"P1",'Test cases'!$H$2:$H$182,"Pass")</f>
        <v/>
      </c>
    </row>
    <row r="8">
      <c r="A8" s="6" t="inlineStr">
        <is>
          <t>Review &amp; edit screen</t>
        </is>
      </c>
      <c r="B8" s="7">
        <f>COUNTIFS('Test cases'!$B$2:$B$182,$A8)</f>
        <v/>
      </c>
      <c r="C8" s="7">
        <f>COUNTIFS('Test cases'!$B$2:$B$182,$A8,'Test cases'!$H$2:$H$182,"Pass")</f>
        <v/>
      </c>
      <c r="D8" s="7">
        <f>COUNTIFS('Test cases'!$B$2:$B$182,$A8,'Test cases'!$H$2:$H$182,"Fail")</f>
        <v/>
      </c>
      <c r="E8" s="7">
        <f>COUNTIFS('Test cases'!$B$2:$B$182,$A8,'Test cases'!$H$2:$H$182,"Blocked")</f>
        <v/>
      </c>
      <c r="F8" s="7">
        <f>COUNTIFS('Test cases'!$B$2:$B$182,$A8,'Test cases'!$H$2:$H$182,"Not run")</f>
        <v/>
      </c>
      <c r="G8" s="8">
        <f>IF(B8=0,0,(C8+D8+E8)/B8)</f>
        <v/>
      </c>
      <c r="H8" s="7">
        <f>COUNTIFS('Test cases'!$B$2:$B$182,$A8,'Test cases'!$C$2:$C$182,"P1")</f>
        <v/>
      </c>
      <c r="I8" s="7">
        <f>COUNTIFS('Test cases'!$B$2:$B$182,$A8,'Test cases'!$C$2:$C$182,"P1",'Test cases'!$H$2:$H$182,"Pass")</f>
        <v/>
      </c>
    </row>
    <row r="9">
      <c r="A9" s="6" t="inlineStr">
        <is>
          <t>Document warnings (red box above the review form)</t>
        </is>
      </c>
      <c r="B9" s="7">
        <f>COUNTIFS('Test cases'!$B$2:$B$182,$A9)</f>
        <v/>
      </c>
      <c r="C9" s="7">
        <f>COUNTIFS('Test cases'!$B$2:$B$182,$A9,'Test cases'!$H$2:$H$182,"Pass")</f>
        <v/>
      </c>
      <c r="D9" s="7">
        <f>COUNTIFS('Test cases'!$B$2:$B$182,$A9,'Test cases'!$H$2:$H$182,"Fail")</f>
        <v/>
      </c>
      <c r="E9" s="7">
        <f>COUNTIFS('Test cases'!$B$2:$B$182,$A9,'Test cases'!$H$2:$H$182,"Blocked")</f>
        <v/>
      </c>
      <c r="F9" s="7">
        <f>COUNTIFS('Test cases'!$B$2:$B$182,$A9,'Test cases'!$H$2:$H$182,"Not run")</f>
        <v/>
      </c>
      <c r="G9" s="8">
        <f>IF(B9=0,0,(C9+D9+E9)/B9)</f>
        <v/>
      </c>
      <c r="H9" s="7">
        <f>COUNTIFS('Test cases'!$B$2:$B$182,$A9,'Test cases'!$C$2:$C$182,"P1")</f>
        <v/>
      </c>
      <c r="I9" s="7">
        <f>COUNTIFS('Test cases'!$B$2:$B$182,$A9,'Test cases'!$C$2:$C$182,"P1",'Test cases'!$H$2:$H$182,"Pass")</f>
        <v/>
      </c>
    </row>
    <row r="10">
      <c r="A10" s="6" t="inlineStr">
        <is>
          <t>Dashboard table</t>
        </is>
      </c>
      <c r="B10" s="7">
        <f>COUNTIFS('Test cases'!$B$2:$B$182,$A10)</f>
        <v/>
      </c>
      <c r="C10" s="7">
        <f>COUNTIFS('Test cases'!$B$2:$B$182,$A10,'Test cases'!$H$2:$H$182,"Pass")</f>
        <v/>
      </c>
      <c r="D10" s="7">
        <f>COUNTIFS('Test cases'!$B$2:$B$182,$A10,'Test cases'!$H$2:$H$182,"Fail")</f>
        <v/>
      </c>
      <c r="E10" s="7">
        <f>COUNTIFS('Test cases'!$B$2:$B$182,$A10,'Test cases'!$H$2:$H$182,"Blocked")</f>
        <v/>
      </c>
      <c r="F10" s="7">
        <f>COUNTIFS('Test cases'!$B$2:$B$182,$A10,'Test cases'!$H$2:$H$182,"Not run")</f>
        <v/>
      </c>
      <c r="G10" s="8">
        <f>IF(B10=0,0,(C10+D10+E10)/B10)</f>
        <v/>
      </c>
      <c r="H10" s="7">
        <f>COUNTIFS('Test cases'!$B$2:$B$182,$A10,'Test cases'!$C$2:$C$182,"P1")</f>
        <v/>
      </c>
      <c r="I10" s="7">
        <f>COUNTIFS('Test cases'!$B$2:$B$182,$A10,'Test cases'!$C$2:$C$182,"P1",'Test cases'!$H$2:$H$182,"Pass")</f>
        <v/>
      </c>
    </row>
    <row r="11">
      <c r="A11" s="6" t="inlineStr">
        <is>
          <t>Send to extension</t>
        </is>
      </c>
      <c r="B11" s="7">
        <f>COUNTIFS('Test cases'!$B$2:$B$182,$A11)</f>
        <v/>
      </c>
      <c r="C11" s="7">
        <f>COUNTIFS('Test cases'!$B$2:$B$182,$A11,'Test cases'!$H$2:$H$182,"Pass")</f>
        <v/>
      </c>
      <c r="D11" s="7">
        <f>COUNTIFS('Test cases'!$B$2:$B$182,$A11,'Test cases'!$H$2:$H$182,"Fail")</f>
        <v/>
      </c>
      <c r="E11" s="7">
        <f>COUNTIFS('Test cases'!$B$2:$B$182,$A11,'Test cases'!$H$2:$H$182,"Blocked")</f>
        <v/>
      </c>
      <c r="F11" s="7">
        <f>COUNTIFS('Test cases'!$B$2:$B$182,$A11,'Test cases'!$H$2:$H$182,"Not run")</f>
        <v/>
      </c>
      <c r="G11" s="8">
        <f>IF(B11=0,0,(C11+D11+E11)/B11)</f>
        <v/>
      </c>
      <c r="H11" s="7">
        <f>COUNTIFS('Test cases'!$B$2:$B$182,$A11,'Test cases'!$C$2:$C$182,"P1")</f>
        <v/>
      </c>
      <c r="I11" s="7">
        <f>COUNTIFS('Test cases'!$B$2:$B$182,$A11,'Test cases'!$C$2:$C$182,"P1",'Test cases'!$H$2:$H$182,"Pass")</f>
        <v/>
      </c>
    </row>
    <row r="12">
      <c r="A12" s="6" t="inlineStr">
        <is>
          <t>Montaji panel (the floating box)</t>
        </is>
      </c>
      <c r="B12" s="7">
        <f>COUNTIFS('Test cases'!$B$2:$B$182,$A12)</f>
        <v/>
      </c>
      <c r="C12" s="7">
        <f>COUNTIFS('Test cases'!$B$2:$B$182,$A12,'Test cases'!$H$2:$H$182,"Pass")</f>
        <v/>
      </c>
      <c r="D12" s="7">
        <f>COUNTIFS('Test cases'!$B$2:$B$182,$A12,'Test cases'!$H$2:$H$182,"Fail")</f>
        <v/>
      </c>
      <c r="E12" s="7">
        <f>COUNTIFS('Test cases'!$B$2:$B$182,$A12,'Test cases'!$H$2:$H$182,"Blocked")</f>
        <v/>
      </c>
      <c r="F12" s="7">
        <f>COUNTIFS('Test cases'!$B$2:$B$182,$A12,'Test cases'!$H$2:$H$182,"Not run")</f>
        <v/>
      </c>
      <c r="G12" s="8">
        <f>IF(B12=0,0,(C12+D12+E12)/B12)</f>
        <v/>
      </c>
      <c r="H12" s="7">
        <f>COUNTIFS('Test cases'!$B$2:$B$182,$A12,'Test cases'!$C$2:$C$182,"P1")</f>
        <v/>
      </c>
      <c r="I12" s="7">
        <f>COUNTIFS('Test cases'!$B$2:$B$182,$A12,'Test cases'!$C$2:$C$182,"P1",'Test cases'!$H$2:$H$182,"Pass")</f>
        <v/>
      </c>
    </row>
    <row r="13">
      <c r="A13" s="6" t="inlineStr">
        <is>
          <t>Montaji Step 1-2: company &amp; product base</t>
        </is>
      </c>
      <c r="B13" s="7">
        <f>COUNTIFS('Test cases'!$B$2:$B$182,$A13)</f>
        <v/>
      </c>
      <c r="C13" s="7">
        <f>COUNTIFS('Test cases'!$B$2:$B$182,$A13,'Test cases'!$H$2:$H$182,"Pass")</f>
        <v/>
      </c>
      <c r="D13" s="7">
        <f>COUNTIFS('Test cases'!$B$2:$B$182,$A13,'Test cases'!$H$2:$H$182,"Fail")</f>
        <v/>
      </c>
      <c r="E13" s="7">
        <f>COUNTIFS('Test cases'!$B$2:$B$182,$A13,'Test cases'!$H$2:$H$182,"Blocked")</f>
        <v/>
      </c>
      <c r="F13" s="7">
        <f>COUNTIFS('Test cases'!$B$2:$B$182,$A13,'Test cases'!$H$2:$H$182,"Not run")</f>
        <v/>
      </c>
      <c r="G13" s="8">
        <f>IF(B13=0,0,(C13+D13+E13)/B13)</f>
        <v/>
      </c>
      <c r="H13" s="7">
        <f>COUNTIFS('Test cases'!$B$2:$B$182,$A13,'Test cases'!$C$2:$C$182,"P1")</f>
        <v/>
      </c>
      <c r="I13" s="7">
        <f>COUNTIFS('Test cases'!$B$2:$B$182,$A13,'Test cases'!$C$2:$C$182,"P1",'Test cases'!$H$2:$H$182,"Pass")</f>
        <v/>
      </c>
    </row>
    <row r="14">
      <c r="A14" s="6" t="inlineStr">
        <is>
          <t>Montaji Step 3: attachments</t>
        </is>
      </c>
      <c r="B14" s="7">
        <f>COUNTIFS('Test cases'!$B$2:$B$182,$A14)</f>
        <v/>
      </c>
      <c r="C14" s="7">
        <f>COUNTIFS('Test cases'!$B$2:$B$182,$A14,'Test cases'!$H$2:$H$182,"Pass")</f>
        <v/>
      </c>
      <c r="D14" s="7">
        <f>COUNTIFS('Test cases'!$B$2:$B$182,$A14,'Test cases'!$H$2:$H$182,"Fail")</f>
        <v/>
      </c>
      <c r="E14" s="7">
        <f>COUNTIFS('Test cases'!$B$2:$B$182,$A14,'Test cases'!$H$2:$H$182,"Blocked")</f>
        <v/>
      </c>
      <c r="F14" s="7">
        <f>COUNTIFS('Test cases'!$B$2:$B$182,$A14,'Test cases'!$H$2:$H$182,"Not run")</f>
        <v/>
      </c>
      <c r="G14" s="8">
        <f>IF(B14=0,0,(C14+D14+E14)/B14)</f>
        <v/>
      </c>
      <c r="H14" s="7">
        <f>COUNTIFS('Test cases'!$B$2:$B$182,$A14,'Test cases'!$C$2:$C$182,"P1")</f>
        <v/>
      </c>
      <c r="I14" s="7">
        <f>COUNTIFS('Test cases'!$B$2:$B$182,$A14,'Test cases'!$C$2:$C$182,"P1",'Test cases'!$H$2:$H$182,"Pass")</f>
        <v/>
      </c>
    </row>
    <row r="15">
      <c r="A15" s="6" t="inlineStr">
        <is>
          <t>Montaji Step 4: variants</t>
        </is>
      </c>
      <c r="B15" s="7">
        <f>COUNTIFS('Test cases'!$B$2:$B$182,$A15)</f>
        <v/>
      </c>
      <c r="C15" s="7">
        <f>COUNTIFS('Test cases'!$B$2:$B$182,$A15,'Test cases'!$H$2:$H$182,"Pass")</f>
        <v/>
      </c>
      <c r="D15" s="7">
        <f>COUNTIFS('Test cases'!$B$2:$B$182,$A15,'Test cases'!$H$2:$H$182,"Fail")</f>
        <v/>
      </c>
      <c r="E15" s="7">
        <f>COUNTIFS('Test cases'!$B$2:$B$182,$A15,'Test cases'!$H$2:$H$182,"Blocked")</f>
        <v/>
      </c>
      <c r="F15" s="7">
        <f>COUNTIFS('Test cases'!$B$2:$B$182,$A15,'Test cases'!$H$2:$H$182,"Not run")</f>
        <v/>
      </c>
      <c r="G15" s="8">
        <f>IF(B15=0,0,(C15+D15+E15)/B15)</f>
        <v/>
      </c>
      <c r="H15" s="7">
        <f>COUNTIFS('Test cases'!$B$2:$B$182,$A15,'Test cases'!$C$2:$C$182,"P1")</f>
        <v/>
      </c>
      <c r="I15" s="7">
        <f>COUNTIFS('Test cases'!$B$2:$B$182,$A15,'Test cases'!$C$2:$C$182,"P1",'Test cases'!$H$2:$H$182,"Pass")</f>
        <v/>
      </c>
    </row>
    <row r="16">
      <c r="A16" s="6" t="inlineStr">
        <is>
          <t>Ingredients (Excel import and entry)</t>
        </is>
      </c>
      <c r="B16" s="7">
        <f>COUNTIFS('Test cases'!$B$2:$B$182,$A16)</f>
        <v/>
      </c>
      <c r="C16" s="7">
        <f>COUNTIFS('Test cases'!$B$2:$B$182,$A16,'Test cases'!$H$2:$H$182,"Pass")</f>
        <v/>
      </c>
      <c r="D16" s="7">
        <f>COUNTIFS('Test cases'!$B$2:$B$182,$A16,'Test cases'!$H$2:$H$182,"Fail")</f>
        <v/>
      </c>
      <c r="E16" s="7">
        <f>COUNTIFS('Test cases'!$B$2:$B$182,$A16,'Test cases'!$H$2:$H$182,"Blocked")</f>
        <v/>
      </c>
      <c r="F16" s="7">
        <f>COUNTIFS('Test cases'!$B$2:$B$182,$A16,'Test cases'!$H$2:$H$182,"Not run")</f>
        <v/>
      </c>
      <c r="G16" s="8">
        <f>IF(B16=0,0,(C16+D16+E16)/B16)</f>
        <v/>
      </c>
      <c r="H16" s="7">
        <f>COUNTIFS('Test cases'!$B$2:$B$182,$A16,'Test cases'!$C$2:$C$182,"P1")</f>
        <v/>
      </c>
      <c r="I16" s="7">
        <f>COUNTIFS('Test cases'!$B$2:$B$182,$A16,'Test cases'!$C$2:$C$182,"P1",'Test cases'!$H$2:$H$182,"Pass")</f>
        <v/>
      </c>
    </row>
    <row r="17">
      <c r="A17" s="6" t="inlineStr">
        <is>
          <t>Montaji pop-ups and messages</t>
        </is>
      </c>
      <c r="B17" s="7">
        <f>COUNTIFS('Test cases'!$B$2:$B$182,$A17)</f>
        <v/>
      </c>
      <c r="C17" s="7">
        <f>COUNTIFS('Test cases'!$B$2:$B$182,$A17,'Test cases'!$H$2:$H$182,"Pass")</f>
        <v/>
      </c>
      <c r="D17" s="7">
        <f>COUNTIFS('Test cases'!$B$2:$B$182,$A17,'Test cases'!$H$2:$H$182,"Fail")</f>
        <v/>
      </c>
      <c r="E17" s="7">
        <f>COUNTIFS('Test cases'!$B$2:$B$182,$A17,'Test cases'!$H$2:$H$182,"Blocked")</f>
        <v/>
      </c>
      <c r="F17" s="7">
        <f>COUNTIFS('Test cases'!$B$2:$B$182,$A17,'Test cases'!$H$2:$H$182,"Not run")</f>
        <v/>
      </c>
      <c r="G17" s="8">
        <f>IF(B17=0,0,(C17+D17+E17)/B17)</f>
        <v/>
      </c>
      <c r="H17" s="7">
        <f>COUNTIFS('Test cases'!$B$2:$B$182,$A17,'Test cases'!$C$2:$C$182,"P1")</f>
        <v/>
      </c>
      <c r="I17" s="7">
        <f>COUNTIFS('Test cases'!$B$2:$B$182,$A17,'Test cases'!$C$2:$C$182,"P1",'Test cases'!$H$2:$H$182,"Pass")</f>
        <v/>
      </c>
    </row>
    <row r="18">
      <c r="A18" s="6" t="inlineStr">
        <is>
          <t>Safety rules</t>
        </is>
      </c>
      <c r="B18" s="7">
        <f>COUNTIFS('Test cases'!$B$2:$B$182,$A18)</f>
        <v/>
      </c>
      <c r="C18" s="7">
        <f>COUNTIFS('Test cases'!$B$2:$B$182,$A18,'Test cases'!$H$2:$H$182,"Pass")</f>
        <v/>
      </c>
      <c r="D18" s="7">
        <f>COUNTIFS('Test cases'!$B$2:$B$182,$A18,'Test cases'!$H$2:$H$182,"Fail")</f>
        <v/>
      </c>
      <c r="E18" s="7">
        <f>COUNTIFS('Test cases'!$B$2:$B$182,$A18,'Test cases'!$H$2:$H$182,"Blocked")</f>
        <v/>
      </c>
      <c r="F18" s="7">
        <f>COUNTIFS('Test cases'!$B$2:$B$182,$A18,'Test cases'!$H$2:$H$182,"Not run")</f>
        <v/>
      </c>
      <c r="G18" s="8">
        <f>IF(B18=0,0,(C18+D18+E18)/B18)</f>
        <v/>
      </c>
      <c r="H18" s="7">
        <f>COUNTIFS('Test cases'!$B$2:$B$182,$A18,'Test cases'!$C$2:$C$182,"P1")</f>
        <v/>
      </c>
      <c r="I18" s="7">
        <f>COUNTIFS('Test cases'!$B$2:$B$182,$A18,'Test cases'!$C$2:$C$182,"P1",'Test cases'!$H$2:$H$182,"Pass")</f>
        <v/>
      </c>
    </row>
    <row r="19">
      <c r="A19" s="6" t="inlineStr">
        <is>
          <t>Data separation &amp; security</t>
        </is>
      </c>
      <c r="B19" s="7">
        <f>COUNTIFS('Test cases'!$B$2:$B$182,$A19)</f>
        <v/>
      </c>
      <c r="C19" s="7">
        <f>COUNTIFS('Test cases'!$B$2:$B$182,$A19,'Test cases'!$H$2:$H$182,"Pass")</f>
        <v/>
      </c>
      <c r="D19" s="7">
        <f>COUNTIFS('Test cases'!$B$2:$B$182,$A19,'Test cases'!$H$2:$H$182,"Fail")</f>
        <v/>
      </c>
      <c r="E19" s="7">
        <f>COUNTIFS('Test cases'!$B$2:$B$182,$A19,'Test cases'!$H$2:$H$182,"Blocked")</f>
        <v/>
      </c>
      <c r="F19" s="7">
        <f>COUNTIFS('Test cases'!$B$2:$B$182,$A19,'Test cases'!$H$2:$H$182,"Not run")</f>
        <v/>
      </c>
      <c r="G19" s="8">
        <f>IF(B19=0,0,(C19+D19+E19)/B19)</f>
        <v/>
      </c>
      <c r="H19" s="7">
        <f>COUNTIFS('Test cases'!$B$2:$B$182,$A19,'Test cases'!$C$2:$C$182,"P1")</f>
        <v/>
      </c>
      <c r="I19" s="7">
        <f>COUNTIFS('Test cases'!$B$2:$B$182,$A19,'Test cases'!$C$2:$C$182,"P1",'Test cases'!$H$2:$H$182,"Pass")</f>
        <v/>
      </c>
    </row>
    <row r="20">
      <c r="A20" s="6" t="inlineStr">
        <is>
          <t>Speed, devices and browsers</t>
        </is>
      </c>
      <c r="B20" s="7">
        <f>COUNTIFS('Test cases'!$B$2:$B$182,$A20)</f>
        <v/>
      </c>
      <c r="C20" s="7">
        <f>COUNTIFS('Test cases'!$B$2:$B$182,$A20,'Test cases'!$H$2:$H$182,"Pass")</f>
        <v/>
      </c>
      <c r="D20" s="7">
        <f>COUNTIFS('Test cases'!$B$2:$B$182,$A20,'Test cases'!$H$2:$H$182,"Fail")</f>
        <v/>
      </c>
      <c r="E20" s="7">
        <f>COUNTIFS('Test cases'!$B$2:$B$182,$A20,'Test cases'!$H$2:$H$182,"Blocked")</f>
        <v/>
      </c>
      <c r="F20" s="7">
        <f>COUNTIFS('Test cases'!$B$2:$B$182,$A20,'Test cases'!$H$2:$H$182,"Not run")</f>
        <v/>
      </c>
      <c r="G20" s="8">
        <f>IF(B20=0,0,(C20+D20+E20)/B20)</f>
        <v/>
      </c>
      <c r="H20" s="7">
        <f>COUNTIFS('Test cases'!$B$2:$B$182,$A20,'Test cases'!$C$2:$C$182,"P1")</f>
        <v/>
      </c>
      <c r="I20" s="7">
        <f>COUNTIFS('Test cases'!$B$2:$B$182,$A20,'Test cases'!$C$2:$C$182,"P1",'Test cases'!$H$2:$H$182,"Pass")</f>
        <v/>
      </c>
    </row>
    <row r="21">
      <c r="A21" s="6" t="inlineStr">
        <is>
          <t>End-to-end product scenarios (prepare a real document set for each)</t>
        </is>
      </c>
      <c r="B21" s="7">
        <f>COUNTIFS('Test cases'!$B$2:$B$182,$A21)</f>
        <v/>
      </c>
      <c r="C21" s="7">
        <f>COUNTIFS('Test cases'!$B$2:$B$182,$A21,'Test cases'!$H$2:$H$182,"Pass")</f>
        <v/>
      </c>
      <c r="D21" s="7">
        <f>COUNTIFS('Test cases'!$B$2:$B$182,$A21,'Test cases'!$H$2:$H$182,"Fail")</f>
        <v/>
      </c>
      <c r="E21" s="7">
        <f>COUNTIFS('Test cases'!$B$2:$B$182,$A21,'Test cases'!$H$2:$H$182,"Blocked")</f>
        <v/>
      </c>
      <c r="F21" s="7">
        <f>COUNTIFS('Test cases'!$B$2:$B$182,$A21,'Test cases'!$H$2:$H$182,"Not run")</f>
        <v/>
      </c>
      <c r="G21" s="8">
        <f>IF(B21=0,0,(C21+D21+E21)/B21)</f>
        <v/>
      </c>
      <c r="H21" s="7">
        <f>COUNTIFS('Test cases'!$B$2:$B$182,$A21,'Test cases'!$C$2:$C$182,"P1")</f>
        <v/>
      </c>
      <c r="I21" s="7">
        <f>COUNTIFS('Test cases'!$B$2:$B$182,$A21,'Test cases'!$C$2:$C$182,"P1",'Test cases'!$H$2:$H$182,"Pass")</f>
        <v/>
      </c>
    </row>
    <row r="22">
      <c r="A22" s="9" t="inlineStr">
        <is>
          <t>All areas</t>
        </is>
      </c>
      <c r="B22" s="10">
        <f>SUM(B5:B21)</f>
        <v/>
      </c>
      <c r="C22" s="10">
        <f>SUM(C5:C21)</f>
        <v/>
      </c>
      <c r="D22" s="10">
        <f>SUM(D5:D21)</f>
        <v/>
      </c>
      <c r="E22" s="10">
        <f>SUM(E5:E21)</f>
        <v/>
      </c>
      <c r="F22" s="10">
        <f>SUM(F5:F21)</f>
        <v/>
      </c>
      <c r="G22" s="11">
        <f>IF(B22=0,0,(C22+D22+E22)/B22)</f>
        <v/>
      </c>
      <c r="H22" s="10">
        <f>SUM(H5:H21)</f>
        <v/>
      </c>
      <c r="I22" s="10">
        <f>SUM(I5:I21)</f>
        <v/>
      </c>
    </row>
    <row r="24">
      <c r="A24" s="2" t="inlineStr">
        <is>
          <t>Release gate suggestion: every P1 case passed (column I equals column H) and no Fail left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K18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9" customWidth="1" min="3" max="3"/>
    <col width="34" customWidth="1" min="4" max="4"/>
    <col width="36" customWidth="1" min="5" max="5"/>
    <col width="46" customWidth="1" min="6" max="6"/>
    <col width="52" customWidth="1" min="7" max="7"/>
    <col width="12" customWidth="1" min="8" max="8"/>
    <col width="40" customWidth="1" min="9" max="9"/>
    <col width="18" customWidth="1" min="10" max="10"/>
    <col width="13" customWidth="1" min="11" max="11"/>
  </cols>
  <sheetData>
    <row r="1" ht="30" customHeight="1">
      <c r="A1" s="12" t="inlineStr">
        <is>
          <t>ID</t>
        </is>
      </c>
      <c r="B1" s="12" t="inlineStr">
        <is>
          <t>Area</t>
        </is>
      </c>
      <c r="C1" s="12" t="inlineStr">
        <is>
          <t>Priority</t>
        </is>
      </c>
      <c r="D1" s="12" t="inlineStr">
        <is>
          <t>Scenario</t>
        </is>
      </c>
      <c r="E1" s="12" t="inlineStr">
        <is>
          <t>Documents / data needed</t>
        </is>
      </c>
      <c r="F1" s="12" t="inlineStr">
        <is>
          <t>Steps</t>
        </is>
      </c>
      <c r="G1" s="12" t="inlineStr">
        <is>
          <t>Expected result</t>
        </is>
      </c>
      <c r="H1" s="12" t="inlineStr">
        <is>
          <t>Result</t>
        </is>
      </c>
      <c r="I1" s="12" t="inlineStr">
        <is>
          <t>Tester notes (what you saw)</t>
        </is>
      </c>
      <c r="J1" s="12" t="inlineStr">
        <is>
          <t>Bug / fix reference</t>
        </is>
      </c>
      <c r="K1" s="12" t="inlineStr">
        <is>
          <t>Date tested</t>
        </is>
      </c>
    </row>
    <row r="2">
      <c r="A2" s="13" t="inlineStr">
        <is>
          <t>ACC-01</t>
        </is>
      </c>
      <c r="B2" s="14" t="inlineStr">
        <is>
          <t>Accounts &amp; companies</t>
        </is>
      </c>
      <c r="C2" s="15" t="inlineStr">
        <is>
          <t>P1</t>
        </is>
      </c>
      <c r="D2" s="16" t="inlineStr">
        <is>
          <t>Sign in with Google</t>
        </is>
      </c>
      <c r="E2" s="14" t="inlineStr">
        <is>
          <t>A Google account</t>
        </is>
      </c>
      <c r="F2" s="14" t="inlineStr">
        <is>
          <t>Open the live site &gt; Sign in &gt; Continue with Google.</t>
        </is>
      </c>
      <c r="G2" s="14" t="inlineStr">
        <is>
          <t>You land on the dashboard. The banner shows Sign out instead of Sign in.</t>
        </is>
      </c>
      <c r="H2" s="17" t="inlineStr">
        <is>
          <t>Not run</t>
        </is>
      </c>
      <c r="I2" s="18" t="inlineStr"/>
      <c r="J2" s="18" t="inlineStr"/>
      <c r="K2" s="17" t="inlineStr"/>
    </row>
    <row r="3">
      <c r="A3" s="13" t="inlineStr">
        <is>
          <t>ACC-02</t>
        </is>
      </c>
      <c r="B3" s="14" t="inlineStr">
        <is>
          <t>Accounts &amp; companies</t>
        </is>
      </c>
      <c r="C3" s="15" t="inlineStr">
        <is>
          <t>P2</t>
        </is>
      </c>
      <c r="D3" s="16" t="inlineStr">
        <is>
          <t>Sign in with Microsoft</t>
        </is>
      </c>
      <c r="E3" s="14" t="inlineStr">
        <is>
          <t>A Microsoft account</t>
        </is>
      </c>
      <c r="F3" s="14" t="inlineStr">
        <is>
          <t>Sign in &gt; Continue with Microsoft.</t>
        </is>
      </c>
      <c r="G3" s="14" t="inlineStr">
        <is>
          <t>You land on the dashboard with your own (empty or existing) company list.</t>
        </is>
      </c>
      <c r="H3" s="17" t="inlineStr">
        <is>
          <t>Not run</t>
        </is>
      </c>
      <c r="I3" s="18" t="inlineStr"/>
      <c r="J3" s="18" t="inlineStr"/>
      <c r="K3" s="17" t="inlineStr"/>
    </row>
    <row r="4">
      <c r="A4" s="13" t="inlineStr">
        <is>
          <t>ACC-03</t>
        </is>
      </c>
      <c r="B4" s="14" t="inlineStr">
        <is>
          <t>Accounts &amp; companies</t>
        </is>
      </c>
      <c r="C4" s="15" t="inlineStr">
        <is>
          <t>P2</t>
        </is>
      </c>
      <c r="D4" s="16" t="inlineStr">
        <is>
          <t>Email sign-up, sign-in and password reset</t>
        </is>
      </c>
      <c r="E4" s="14" t="inlineStr">
        <is>
          <t>A fresh email address</t>
        </is>
      </c>
      <c r="F4" s="14" t="inlineStr">
        <is>
          <t>Sign up with email and password; sign out; sign in; use Forgot password and complete the reset.</t>
        </is>
      </c>
      <c r="G4" s="14" t="inlineStr">
        <is>
          <t>Each step works. The reset link opens the reset page and the new password signs you in.</t>
        </is>
      </c>
      <c r="H4" s="17" t="inlineStr">
        <is>
          <t>Not run</t>
        </is>
      </c>
      <c r="I4" s="18" t="inlineStr"/>
      <c r="J4" s="18" t="inlineStr"/>
      <c r="K4" s="17" t="inlineStr"/>
    </row>
    <row r="5">
      <c r="A5" s="13" t="inlineStr">
        <is>
          <t>ACC-04</t>
        </is>
      </c>
      <c r="B5" s="14" t="inlineStr">
        <is>
          <t>Accounts &amp; companies</t>
        </is>
      </c>
      <c r="C5" s="15" t="inlineStr">
        <is>
          <t>P1</t>
        </is>
      </c>
      <c r="D5" s="16" t="inlineStr">
        <is>
          <t>Protected pages need a login</t>
        </is>
      </c>
      <c r="E5" s="14" t="inlineStr">
        <is>
          <t>None</t>
        </is>
      </c>
      <c r="F5" s="14" t="inlineStr">
        <is>
          <t>Sign out. Open /app and a product link directly.</t>
        </is>
      </c>
      <c r="G5" s="14" t="inlineStr">
        <is>
          <t>You are sent to the login page. No product data is shown.</t>
        </is>
      </c>
      <c r="H5" s="17" t="inlineStr">
        <is>
          <t>Not run</t>
        </is>
      </c>
      <c r="I5" s="18" t="inlineStr"/>
      <c r="J5" s="18" t="inlineStr"/>
      <c r="K5" s="17" t="inlineStr"/>
    </row>
    <row r="6">
      <c r="A6" s="13" t="inlineStr">
        <is>
          <t>ACC-05</t>
        </is>
      </c>
      <c r="B6" s="14" t="inlineStr">
        <is>
          <t>Accounts &amp; companies</t>
        </is>
      </c>
      <c r="C6" s="15" t="inlineStr">
        <is>
          <t>P1</t>
        </is>
      </c>
      <c r="D6" s="16" t="inlineStr">
        <is>
          <t>First login creates a company</t>
        </is>
      </c>
      <c r="E6" s="14" t="inlineStr">
        <is>
          <t>None</t>
        </is>
      </c>
      <c r="F6" s="14" t="inlineStr">
        <is>
          <t>Sign in with a brand new account.</t>
        </is>
      </c>
      <c r="G6" s="14" t="inlineStr">
        <is>
          <t>You are asked to create a company (name required). After creating it you see an empty product table.</t>
        </is>
      </c>
      <c r="H6" s="17" t="inlineStr">
        <is>
          <t>Not run</t>
        </is>
      </c>
      <c r="I6" s="18" t="inlineStr"/>
      <c r="J6" s="18" t="inlineStr"/>
      <c r="K6" s="17" t="inlineStr"/>
    </row>
    <row r="7">
      <c r="A7" s="13" t="inlineStr">
        <is>
          <t>ACC-06</t>
        </is>
      </c>
      <c r="B7" s="14" t="inlineStr">
        <is>
          <t>Accounts &amp; companies</t>
        </is>
      </c>
      <c r="C7" s="15" t="inlineStr">
        <is>
          <t>P2</t>
        </is>
      </c>
      <c r="D7" s="16" t="inlineStr">
        <is>
          <t>Several companies and switching</t>
        </is>
      </c>
      <c r="E7" s="14" t="inlineStr">
        <is>
          <t>Two companies</t>
        </is>
      </c>
      <c r="F7" s="14" t="inlineStr">
        <is>
          <t>Add another company. Create a product in each. Switch between them.</t>
        </is>
      </c>
      <c r="G7" s="14" t="inlineStr">
        <is>
          <t>Each company shows only its own products. The choice is remembered after a refresh.</t>
        </is>
      </c>
      <c r="H7" s="17" t="inlineStr">
        <is>
          <t>Not run</t>
        </is>
      </c>
      <c r="I7" s="18" t="inlineStr"/>
      <c r="J7" s="18" t="inlineStr"/>
      <c r="K7" s="17" t="inlineStr"/>
    </row>
    <row r="8">
      <c r="A8" s="13" t="inlineStr">
        <is>
          <t>ACC-07</t>
        </is>
      </c>
      <c r="B8" s="14" t="inlineStr">
        <is>
          <t>Accounts &amp; companies</t>
        </is>
      </c>
      <c r="C8" s="15" t="inlineStr">
        <is>
          <t>P3</t>
        </is>
      </c>
      <c r="D8" s="16" t="inlineStr">
        <is>
          <t>Session expired during extraction</t>
        </is>
      </c>
      <c r="E8" s="14" t="inlineStr">
        <is>
          <t>A product with documents</t>
        </is>
      </c>
      <c r="F8" s="14" t="inlineStr">
        <is>
          <t>Sign out in a second tab, then press Extract with AI in the first.</t>
        </is>
      </c>
      <c r="G8" s="14" t="inlineStr">
        <is>
          <t>A clear 'session expired, sign in again' message, not a crash.</t>
        </is>
      </c>
      <c r="H8" s="17" t="inlineStr">
        <is>
          <t>Not run</t>
        </is>
      </c>
      <c r="I8" s="18" t="inlineStr"/>
      <c r="J8" s="18" t="inlineStr"/>
      <c r="K8" s="17" t="inlineStr"/>
    </row>
    <row r="9">
      <c r="A9" s="13" t="inlineStr">
        <is>
          <t>PRD-01</t>
        </is>
      </c>
      <c r="B9" s="14" t="inlineStr">
        <is>
          <t>Product creation &amp; documents</t>
        </is>
      </c>
      <c r="C9" s="15" t="inlineStr">
        <is>
          <t>P1</t>
        </is>
      </c>
      <c r="D9" s="16" t="inlineStr">
        <is>
          <t>New product is created instantly</t>
        </is>
      </c>
      <c r="E9" s="14" t="inlineStr">
        <is>
          <t>None</t>
        </is>
      </c>
      <c r="F9" s="14" t="inlineStr">
        <is>
          <t>Press + New product.</t>
        </is>
      </c>
      <c r="G9" s="14" t="inlineStr">
        <is>
          <t>No name box. The product page opens at once, titled 'New product', with the three upload sections and a hint to upload then extract.</t>
        </is>
      </c>
      <c r="H9" s="17" t="inlineStr">
        <is>
          <t>Not run</t>
        </is>
      </c>
      <c r="I9" s="18" t="inlineStr"/>
      <c r="J9" s="18" t="inlineStr"/>
      <c r="K9" s="17" t="inlineStr"/>
    </row>
    <row r="10">
      <c r="A10" s="13" t="inlineStr">
        <is>
          <t>PRD-02</t>
        </is>
      </c>
      <c r="B10" s="14" t="inlineStr">
        <is>
          <t>Product creation &amp; documents</t>
        </is>
      </c>
      <c r="C10" s="15" t="inlineStr">
        <is>
          <t>P1</t>
        </is>
      </c>
      <c r="D10" s="16" t="inlineStr">
        <is>
          <t>Upload each document type</t>
        </is>
      </c>
      <c r="E10" s="14" t="inlineStr">
        <is>
          <t>Formula PDF, certificate PDF, label image</t>
        </is>
      </c>
      <c r="F10" s="14" t="inlineStr">
        <is>
          <t>Upload one file in each of the three sections.</t>
        </is>
      </c>
      <c r="G10" s="14" t="inlineStr">
        <is>
          <t>Each file appears in its own section with a Remove link. Extract with AI becomes enabled.</t>
        </is>
      </c>
      <c r="H10" s="17" t="inlineStr">
        <is>
          <t>Not run</t>
        </is>
      </c>
      <c r="I10" s="18" t="inlineStr"/>
      <c r="J10" s="18" t="inlineStr"/>
      <c r="K10" s="17" t="inlineStr"/>
    </row>
    <row r="11">
      <c r="A11" s="13" t="inlineStr">
        <is>
          <t>PRD-03</t>
        </is>
      </c>
      <c r="B11" s="14" t="inlineStr">
        <is>
          <t>Product creation &amp; documents</t>
        </is>
      </c>
      <c r="C11" s="15" t="inlineStr">
        <is>
          <t>P2</t>
        </is>
      </c>
      <c r="D11" s="16" t="inlineStr">
        <is>
          <t>Label as photo (JPG / PNG / HEIC from phone)</t>
        </is>
      </c>
      <c r="E11" s="14" t="inlineStr">
        <is>
          <t>A phone photo of a label</t>
        </is>
      </c>
      <c r="F11" s="14" t="inlineStr">
        <is>
          <t>Upload it as label artwork.</t>
        </is>
      </c>
      <c r="G11" s="14" t="inlineStr">
        <is>
          <t>It uploads and later extracts. If HEIC is not supported you get a clear message, not a silent failure.</t>
        </is>
      </c>
      <c r="H11" s="17" t="inlineStr">
        <is>
          <t>Not run</t>
        </is>
      </c>
      <c r="I11" s="18" t="inlineStr"/>
      <c r="J11" s="18" t="inlineStr"/>
      <c r="K11" s="17" t="inlineStr"/>
    </row>
    <row r="12">
      <c r="A12" s="13" t="inlineStr">
        <is>
          <t>PRD-04</t>
        </is>
      </c>
      <c r="B12" s="14" t="inlineStr">
        <is>
          <t>Product creation &amp; documents</t>
        </is>
      </c>
      <c r="C12" s="15" t="inlineStr">
        <is>
          <t>P2</t>
        </is>
      </c>
      <c r="D12" s="16" t="inlineStr">
        <is>
          <t>File over 15 MB</t>
        </is>
      </c>
      <c r="E12" s="14" t="inlineStr">
        <is>
          <t>A PDF over 15 MB</t>
        </is>
      </c>
      <c r="F12" s="14" t="inlineStr">
        <is>
          <t>Try to upload it.</t>
        </is>
      </c>
      <c r="G12" s="14" t="inlineStr">
        <is>
          <t>Rejected with 'over 15MB' message. Nothing is stored.</t>
        </is>
      </c>
      <c r="H12" s="17" t="inlineStr">
        <is>
          <t>Not run</t>
        </is>
      </c>
      <c r="I12" s="18" t="inlineStr"/>
      <c r="J12" s="18" t="inlineStr"/>
      <c r="K12" s="17" t="inlineStr"/>
    </row>
    <row r="13">
      <c r="A13" s="13" t="inlineStr">
        <is>
          <t>PRD-05</t>
        </is>
      </c>
      <c r="B13" s="14" t="inlineStr">
        <is>
          <t>Product creation &amp; documents</t>
        </is>
      </c>
      <c r="C13" s="15" t="inlineStr">
        <is>
          <t>P2</t>
        </is>
      </c>
      <c r="D13" s="16" t="inlineStr">
        <is>
          <t>Unsupported file types</t>
        </is>
      </c>
      <c r="E13" s="14" t="inlineStr">
        <is>
          <t>A .docx, .xlsx and .txt file</t>
        </is>
      </c>
      <c r="F13" s="14" t="inlineStr">
        <is>
          <t>Try to upload each (use the file picker 'All files' option if needed).</t>
        </is>
      </c>
      <c r="G13" s="14" t="inlineStr">
        <is>
          <t>They are refused or ignored with a clear message. The other documents are unaffected.</t>
        </is>
      </c>
      <c r="H13" s="17" t="inlineStr">
        <is>
          <t>Not run</t>
        </is>
      </c>
      <c r="I13" s="18" t="inlineStr"/>
      <c r="J13" s="18" t="inlineStr"/>
      <c r="K13" s="17" t="inlineStr"/>
    </row>
    <row r="14">
      <c r="A14" s="13" t="inlineStr">
        <is>
          <t>PRD-06</t>
        </is>
      </c>
      <c r="B14" s="14" t="inlineStr">
        <is>
          <t>Product creation &amp; documents</t>
        </is>
      </c>
      <c r="C14" s="15" t="inlineStr">
        <is>
          <t>P2</t>
        </is>
      </c>
      <c r="D14" s="16" t="inlineStr">
        <is>
          <t>Several files in one section</t>
        </is>
      </c>
      <c r="E14" s="14" t="inlineStr">
        <is>
          <t>Front and back label images</t>
        </is>
      </c>
      <c r="F14" s="14" t="inlineStr">
        <is>
          <t>Upload two label images.</t>
        </is>
      </c>
      <c r="G14" s="14" t="inlineStr">
        <is>
          <t>Both are listed and both are used in extraction (data from the back panel, such as ingredients, is picked up).</t>
        </is>
      </c>
      <c r="H14" s="17" t="inlineStr">
        <is>
          <t>Not run</t>
        </is>
      </c>
      <c r="I14" s="18" t="inlineStr"/>
      <c r="J14" s="18" t="inlineStr"/>
      <c r="K14" s="17" t="inlineStr"/>
    </row>
    <row r="15">
      <c r="A15" s="13" t="inlineStr">
        <is>
          <t>PRD-07</t>
        </is>
      </c>
      <c r="B15" s="14" t="inlineStr">
        <is>
          <t>Product creation &amp; documents</t>
        </is>
      </c>
      <c r="C15" s="15" t="inlineStr">
        <is>
          <t>P2</t>
        </is>
      </c>
      <c r="D15" s="16" t="inlineStr">
        <is>
          <t>Remove a document</t>
        </is>
      </c>
      <c r="E15" s="14" t="inlineStr">
        <is>
          <t>Any product with 3 documents</t>
        </is>
      </c>
      <c r="F15" s="14" t="inlineStr">
        <is>
          <t>Remove the label, then run extraction.</t>
        </is>
      </c>
      <c r="G15" s="14" t="inlineStr">
        <is>
          <t>Extraction runs on the remaining files only. Barcode and shades come back missing and the checklist says so.</t>
        </is>
      </c>
      <c r="H15" s="17" t="inlineStr">
        <is>
          <t>Not run</t>
        </is>
      </c>
      <c r="I15" s="18" t="inlineStr"/>
      <c r="J15" s="18" t="inlineStr"/>
      <c r="K15" s="17" t="inlineStr"/>
    </row>
    <row r="16">
      <c r="A16" s="13" t="inlineStr">
        <is>
          <t>PRD-08</t>
        </is>
      </c>
      <c r="B16" s="14" t="inlineStr">
        <is>
          <t>Product creation &amp; documents</t>
        </is>
      </c>
      <c r="C16" s="15" t="inlineStr">
        <is>
          <t>P2</t>
        </is>
      </c>
      <c r="D16" s="16" t="inlineStr">
        <is>
          <t>Extract with no documents</t>
        </is>
      </c>
      <c r="E16" s="14" t="inlineStr">
        <is>
          <t>New empty product</t>
        </is>
      </c>
      <c r="F16" s="14" t="inlineStr">
        <is>
          <t>Open the product page.</t>
        </is>
      </c>
      <c r="G16" s="14" t="inlineStr">
        <is>
          <t>Extract with AI is disabled with 'Upload at least one document' text.</t>
        </is>
      </c>
      <c r="H16" s="17" t="inlineStr">
        <is>
          <t>Not run</t>
        </is>
      </c>
      <c r="I16" s="18" t="inlineStr"/>
      <c r="J16" s="18" t="inlineStr"/>
      <c r="K16" s="17" t="inlineStr"/>
    </row>
    <row r="17">
      <c r="A17" s="13" t="inlineStr">
        <is>
          <t>PRD-09</t>
        </is>
      </c>
      <c r="B17" s="14" t="inlineStr">
        <is>
          <t>Product creation &amp; documents</t>
        </is>
      </c>
      <c r="C17" s="15" t="inlineStr">
        <is>
          <t>P3</t>
        </is>
      </c>
      <c r="D17" s="16" t="inlineStr">
        <is>
          <t>Special characters in file names</t>
        </is>
      </c>
      <c r="E17" s="14" t="inlineStr">
        <is>
          <t>Files named with spaces, Arabic letters, brackets, &amp;</t>
        </is>
      </c>
      <c r="F17" s="14" t="inlineStr">
        <is>
          <t>Upload them.</t>
        </is>
      </c>
      <c r="G17" s="14" t="inlineStr">
        <is>
          <t>Upload and extraction work. Names display correctly in the list and in the Montaji Documents box.</t>
        </is>
      </c>
      <c r="H17" s="17" t="inlineStr">
        <is>
          <t>Not run</t>
        </is>
      </c>
      <c r="I17" s="18" t="inlineStr"/>
      <c r="J17" s="18" t="inlineStr"/>
      <c r="K17" s="17" t="inlineStr"/>
    </row>
    <row r="18">
      <c r="A18" s="13" t="inlineStr">
        <is>
          <t>PRD-10</t>
        </is>
      </c>
      <c r="B18" s="14" t="inlineStr">
        <is>
          <t>Product creation &amp; documents</t>
        </is>
      </c>
      <c r="C18" s="15" t="inlineStr">
        <is>
          <t>P1</t>
        </is>
      </c>
      <c r="D18" s="16" t="inlineStr">
        <is>
          <t>Delete a product</t>
        </is>
      </c>
      <c r="E18" s="14" t="inlineStr">
        <is>
          <t>A product with documents</t>
        </is>
      </c>
      <c r="F18" s="14" t="inlineStr">
        <is>
          <t>Delete it from the dashboard and confirm.</t>
        </is>
      </c>
      <c r="G18" s="14" t="inlineStr">
        <is>
          <t>Row disappears. Opening its old link shows not found. (Admin check: files are removed from storage.)</t>
        </is>
      </c>
      <c r="H18" s="17" t="inlineStr">
        <is>
          <t>Not run</t>
        </is>
      </c>
      <c r="I18" s="18" t="inlineStr"/>
      <c r="J18" s="18" t="inlineStr"/>
      <c r="K18" s="17" t="inlineStr"/>
    </row>
    <row r="19">
      <c r="A19" s="13" t="inlineStr">
        <is>
          <t>PRD-11</t>
        </is>
      </c>
      <c r="B19" s="14" t="inlineStr">
        <is>
          <t>Product creation &amp; documents</t>
        </is>
      </c>
      <c r="C19" s="15" t="inlineStr">
        <is>
          <t>P2</t>
        </is>
      </c>
      <c r="D19" s="16" t="inlineStr">
        <is>
          <t>Documents survive leaving the page</t>
        </is>
      </c>
      <c r="E19" s="14" t="inlineStr">
        <is>
          <t>Product with documents</t>
        </is>
      </c>
      <c r="F19" s="14" t="inlineStr">
        <is>
          <t>Upload, go to the dashboard, come back.</t>
        </is>
      </c>
      <c r="G19" s="14" t="inlineStr">
        <is>
          <t>The documents are still listed.</t>
        </is>
      </c>
      <c r="H19" s="17" t="inlineStr">
        <is>
          <t>Not run</t>
        </is>
      </c>
      <c r="I19" s="18" t="inlineStr"/>
      <c r="J19" s="18" t="inlineStr"/>
      <c r="K19" s="17" t="inlineStr"/>
    </row>
    <row r="20">
      <c r="A20" s="13" t="inlineStr">
        <is>
          <t>EXT-01</t>
        </is>
      </c>
      <c r="B20" s="14" t="inlineStr">
        <is>
          <t>AI extraction accuracy (real documents)</t>
        </is>
      </c>
      <c r="C20" s="15" t="inlineStr">
        <is>
          <t>P1</t>
        </is>
      </c>
      <c r="D20" s="16" t="inlineStr">
        <is>
          <t>Complete set, single variant, imported product</t>
        </is>
      </c>
      <c r="E20" s="14" t="inlineStr">
        <is>
          <t>Label + formula with % + Free Sale certificate (e.g. Real1)</t>
        </is>
      </c>
      <c r="F20" s="14" t="inlineStr">
        <is>
          <t>Upload all three, Extract with AI. Compare every field with the documents.</t>
        </is>
      </c>
      <c r="G20" s="14" t="inlineStr">
        <is>
          <t>Product name, brand, country of origin, barcode, size, unit, all ingredients with percentages, classification and flags all match the documents. Product name replaces 'New product' on the dashboard.</t>
        </is>
      </c>
      <c r="H20" s="17" t="inlineStr">
        <is>
          <t>Not run</t>
        </is>
      </c>
      <c r="I20" s="18" t="inlineStr"/>
      <c r="J20" s="18" t="inlineStr"/>
      <c r="K20" s="17" t="inlineStr"/>
    </row>
    <row r="21">
      <c r="A21" s="13" t="inlineStr">
        <is>
          <t>EXT-02</t>
        </is>
      </c>
      <c r="B21" s="14" t="inlineStr">
        <is>
          <t>AI extraction accuracy (real documents)</t>
        </is>
      </c>
      <c r="C21" s="15" t="inlineStr">
        <is>
          <t>P1</t>
        </is>
      </c>
      <c r="D21" s="16" t="inlineStr">
        <is>
          <t>Several shades with manufacturer codes</t>
        </is>
      </c>
      <c r="E21" s="14" t="inlineStr">
        <is>
          <t>Makeup set with shades such as 126 and 128, each with its own barcode</t>
        </is>
      </c>
      <c r="F21" s="14" t="inlineStr">
        <is>
          <t>Extract.</t>
        </is>
      </c>
      <c r="G21" s="14" t="inlineStr">
        <is>
          <t>One variant per shade. Shade column holds the code (126, 128), never a colour word. Each variant has its own correct barcode.</t>
        </is>
      </c>
      <c r="H21" s="17" t="inlineStr">
        <is>
          <t>Not run</t>
        </is>
      </c>
      <c r="I21" s="18" t="inlineStr"/>
      <c r="J21" s="18" t="inlineStr"/>
      <c r="K21" s="17" t="inlineStr"/>
    </row>
    <row r="22">
      <c r="A22" s="13" t="inlineStr">
        <is>
          <t>EXT-03</t>
        </is>
      </c>
      <c r="B22" s="14" t="inlineStr">
        <is>
          <t>AI extraction accuracy (real documents)</t>
        </is>
      </c>
      <c r="C22" s="15" t="inlineStr">
        <is>
          <t>P2</t>
        </is>
      </c>
      <c r="D22" s="16" t="inlineStr">
        <is>
          <t>Shade names (not numbers)</t>
        </is>
      </c>
      <c r="E22" s="14" t="inlineStr">
        <is>
          <t>Product with shades like 'Rose 04' or 'Nude Beige'</t>
        </is>
      </c>
      <c r="F22" s="14" t="inlineStr">
        <is>
          <t>Extract.</t>
        </is>
      </c>
      <c r="G22" s="14" t="inlineStr">
        <is>
          <t>Shade text is kept exactly as the manufacturer writes it, not translated or simplified.</t>
        </is>
      </c>
      <c r="H22" s="17" t="inlineStr">
        <is>
          <t>Not run</t>
        </is>
      </c>
      <c r="I22" s="18" t="inlineStr"/>
      <c r="J22" s="18" t="inlineStr"/>
      <c r="K22" s="17" t="inlineStr"/>
    </row>
    <row r="23">
      <c r="A23" s="13" t="inlineStr">
        <is>
          <t>EXT-04</t>
        </is>
      </c>
      <c r="B23" s="14" t="inlineStr">
        <is>
          <t>AI extraction accuracy (real documents)</t>
        </is>
      </c>
      <c r="C23" s="15" t="inlineStr">
        <is>
          <t>P1</t>
        </is>
      </c>
      <c r="D23" s="16" t="inlineStr">
        <is>
          <t>Product without shade or scent</t>
        </is>
      </c>
      <c r="E23" s="14" t="inlineStr">
        <is>
          <t>A plain product (e.g. a cream)</t>
        </is>
      </c>
      <c r="F23" s="14" t="inlineStr">
        <is>
          <t>Extract.</t>
        </is>
      </c>
      <c r="G23" s="14" t="inlineStr">
        <is>
          <t>Shade and scent both show NA. Exactly one variant.</t>
        </is>
      </c>
      <c r="H23" s="17" t="inlineStr">
        <is>
          <t>Not run</t>
        </is>
      </c>
      <c r="I23" s="18" t="inlineStr"/>
      <c r="J23" s="18" t="inlineStr"/>
      <c r="K23" s="17" t="inlineStr"/>
    </row>
    <row r="24">
      <c r="A24" s="13" t="inlineStr">
        <is>
          <t>EXT-05</t>
        </is>
      </c>
      <c r="B24" s="14" t="inlineStr">
        <is>
          <t>AI extraction accuracy (real documents)</t>
        </is>
      </c>
      <c r="C24" s="15" t="inlineStr">
        <is>
          <t>P2</t>
        </is>
      </c>
      <c r="D24" s="16" t="inlineStr">
        <is>
          <t>Several scents or flavours</t>
        </is>
      </c>
      <c r="E24" s="14" t="inlineStr">
        <is>
          <t>Shower gel or toothpaste in 3 scents/flavours</t>
        </is>
      </c>
      <c r="F24" s="14" t="inlineStr">
        <is>
          <t>Extract.</t>
        </is>
      </c>
      <c r="G24" s="14" t="inlineStr">
        <is>
          <t>One variant per scent, scent holds the manufacturer's own name, shade is NA.</t>
        </is>
      </c>
      <c r="H24" s="17" t="inlineStr">
        <is>
          <t>Not run</t>
        </is>
      </c>
      <c r="I24" s="18" t="inlineStr"/>
      <c r="J24" s="18" t="inlineStr"/>
      <c r="K24" s="17" t="inlineStr"/>
    </row>
    <row r="25">
      <c r="A25" s="13" t="inlineStr">
        <is>
          <t>EXT-06</t>
        </is>
      </c>
      <c r="B25" s="14" t="inlineStr">
        <is>
          <t>AI extraction accuracy (real documents)</t>
        </is>
      </c>
      <c r="C25" s="15" t="inlineStr">
        <is>
          <t>P2</t>
        </is>
      </c>
      <c r="D25" s="16" t="inlineStr">
        <is>
          <t>Several sizes</t>
        </is>
      </c>
      <c r="E25" s="14" t="inlineStr">
        <is>
          <t>Same product in 50 ml and 100 ml with separate barcodes</t>
        </is>
      </c>
      <c r="F25" s="14" t="inlineStr">
        <is>
          <t>Extract.</t>
        </is>
      </c>
      <c r="G25" s="14" t="inlineStr">
        <is>
          <t>Two variants, correct size number and unit each.</t>
        </is>
      </c>
      <c r="H25" s="17" t="inlineStr">
        <is>
          <t>Not run</t>
        </is>
      </c>
      <c r="I25" s="18" t="inlineStr"/>
      <c r="J25" s="18" t="inlineStr"/>
      <c r="K25" s="17" t="inlineStr"/>
    </row>
    <row r="26">
      <c r="A26" s="13" t="inlineStr">
        <is>
          <t>EXT-07</t>
        </is>
      </c>
      <c r="B26" s="14" t="inlineStr">
        <is>
          <t>AI extraction accuracy (real documents)</t>
        </is>
      </c>
      <c r="C26" s="15" t="inlineStr">
        <is>
          <t>P2</t>
        </is>
      </c>
      <c r="D26" s="16" t="inlineStr">
        <is>
          <t>Units of measure</t>
        </is>
      </c>
      <c r="E26" s="14" t="inlineStr">
        <is>
          <t>Products sold in ml, g, kg, L and by pieces/tablets</t>
        </is>
      </c>
      <c r="F26" s="14" t="inlineStr">
        <is>
          <t>Extract each.</t>
        </is>
      </c>
      <c r="G26" s="14" t="inlineStr">
        <is>
          <t>Number only in Size (for '50 ml' it says 50). Unit is the right Montaji option (ML, g, Kg, L, Tablets...). Anything odd is flagged, not guessed.</t>
        </is>
      </c>
      <c r="H26" s="17" t="inlineStr">
        <is>
          <t>Not run</t>
        </is>
      </c>
      <c r="I26" s="18" t="inlineStr"/>
      <c r="J26" s="18" t="inlineStr"/>
      <c r="K26" s="17" t="inlineStr"/>
    </row>
    <row r="27">
      <c r="A27" s="13" t="inlineStr">
        <is>
          <t>EXT-08</t>
        </is>
      </c>
      <c r="B27" s="14" t="inlineStr">
        <is>
          <t>AI extraction accuracy (real documents)</t>
        </is>
      </c>
      <c r="C27" s="15" t="inlineStr">
        <is>
          <t>P1</t>
        </is>
      </c>
      <c r="D27" s="16" t="inlineStr">
        <is>
          <t>UAE-made product with GMP certificate</t>
        </is>
      </c>
      <c r="E27" s="14" t="inlineStr">
        <is>
          <t>Label 'Made in UAE', formula, GMP certificate</t>
        </is>
      </c>
      <c r="F27" s="14" t="inlineStr">
        <is>
          <t>Extract.</t>
        </is>
      </c>
      <c r="G27" s="14" t="inlineStr">
        <is>
          <t>Country of origin is United Arab Emirates. The GMP certificate is not treated as a Free Sale certificate. No Free Sale warning appears.</t>
        </is>
      </c>
      <c r="H27" s="17" t="inlineStr">
        <is>
          <t>Not run</t>
        </is>
      </c>
      <c r="I27" s="18" t="inlineStr"/>
      <c r="J27" s="18" t="inlineStr"/>
      <c r="K27" s="17" t="inlineStr"/>
    </row>
    <row r="28">
      <c r="A28" s="13" t="inlineStr">
        <is>
          <t>EXT-09</t>
        </is>
      </c>
      <c r="B28" s="14" t="inlineStr">
        <is>
          <t>AI extraction accuracy (real documents)</t>
        </is>
      </c>
      <c r="C28" s="15" t="inlineStr">
        <is>
          <t>P2</t>
        </is>
      </c>
      <c r="D28" s="16" t="inlineStr">
        <is>
          <t>Digital PDF vs scanned PDF vs phone photo for the formula</t>
        </is>
      </c>
      <c r="E28" s="14" t="inlineStr">
        <is>
          <t>The same formula in three forms</t>
        </is>
      </c>
      <c r="F28" s="14" t="inlineStr">
        <is>
          <t>Extract with each form in turn.</t>
        </is>
      </c>
      <c r="G28" s="14" t="inlineStr">
        <is>
          <t>Same ingredients and percentages from all three. Differences are noted as accuracy problems.</t>
        </is>
      </c>
      <c r="H28" s="17" t="inlineStr">
        <is>
          <t>Not run</t>
        </is>
      </c>
      <c r="I28" s="18" t="inlineStr"/>
      <c r="J28" s="18" t="inlineStr"/>
      <c r="K28" s="17" t="inlineStr"/>
    </row>
    <row r="29">
      <c r="A29" s="13" t="inlineStr">
        <is>
          <t>EXT-10</t>
        </is>
      </c>
      <c r="B29" s="14" t="inlineStr">
        <is>
          <t>AI extraction accuracy (real documents)</t>
        </is>
      </c>
      <c r="C29" s="15" t="inlineStr">
        <is>
          <t>P1</t>
        </is>
      </c>
      <c r="D29" s="16" t="inlineStr">
        <is>
          <t>Certificate of Composition used for percentages</t>
        </is>
      </c>
      <c r="E29" s="14" t="inlineStr">
        <is>
          <t>Label + COC with % W/W column (right product)</t>
        </is>
      </c>
      <c r="F29" s="14" t="inlineStr">
        <is>
          <t>Extract.</t>
        </is>
      </c>
      <c r="G29" s="14" t="inlineStr">
        <is>
          <t>Ingredients come from the COC with their percentages, not from the label.</t>
        </is>
      </c>
      <c r="H29" s="17" t="inlineStr">
        <is>
          <t>Not run</t>
        </is>
      </c>
      <c r="I29" s="18" t="inlineStr"/>
      <c r="J29" s="18" t="inlineStr"/>
      <c r="K29" s="17" t="inlineStr"/>
    </row>
    <row r="30">
      <c r="A30" s="13" t="inlineStr">
        <is>
          <t>EXT-11</t>
        </is>
      </c>
      <c r="B30" s="14" t="inlineStr">
        <is>
          <t>AI extraction accuracy (real documents)</t>
        </is>
      </c>
      <c r="C30" s="15" t="inlineStr">
        <is>
          <t>P1</t>
        </is>
      </c>
      <c r="D30" s="16" t="inlineStr">
        <is>
          <t>Ingredients only on the label (no formula document)</t>
        </is>
      </c>
      <c r="E30" s="14" t="inlineStr">
        <is>
          <t>Label only</t>
        </is>
      </c>
      <c r="F30" s="14" t="inlineStr">
        <is>
          <t>Extract.</t>
        </is>
      </c>
      <c r="G30" s="14" t="inlineStr">
        <is>
          <t>Ingredients are listed without percentages. The checklist says Montaji needs percentages and lists how many are missing.</t>
        </is>
      </c>
      <c r="H30" s="17" t="inlineStr">
        <is>
          <t>Not run</t>
        </is>
      </c>
      <c r="I30" s="18" t="inlineStr"/>
      <c r="J30" s="18" t="inlineStr"/>
      <c r="K30" s="17" t="inlineStr"/>
    </row>
    <row r="31">
      <c r="A31" s="13" t="inlineStr">
        <is>
          <t>EXT-12</t>
        </is>
      </c>
      <c r="B31" s="14" t="inlineStr">
        <is>
          <t>AI extraction accuracy (real documents)</t>
        </is>
      </c>
      <c r="C31" s="15" t="inlineStr">
        <is>
          <t>P1</t>
        </is>
      </c>
      <c r="D31" s="16" t="inlineStr">
        <is>
          <t>Percentage formats</t>
        </is>
      </c>
      <c r="E31" s="14" t="inlineStr">
        <is>
          <t>Formula containing 60.450, 0.001, &lt;0.001, 0,5 (decimal comma), 0.000108, 'q.s.'</t>
        </is>
      </c>
      <c r="F31" s="14" t="inlineStr">
        <is>
          <t>Extract and read each percentage in the review form.</t>
        </is>
      </c>
      <c r="G31" s="14" t="inlineStr">
        <is>
          <t>Values are kept as written. Decimal comma is understood. 'q.s.' or blanks are left without a percentage and flagged.</t>
        </is>
      </c>
      <c r="H31" s="17" t="inlineStr">
        <is>
          <t>Not run</t>
        </is>
      </c>
      <c r="I31" s="18" t="inlineStr"/>
      <c r="J31" s="18" t="inlineStr"/>
      <c r="K31" s="17" t="inlineStr"/>
    </row>
    <row r="32">
      <c r="A32" s="13" t="inlineStr">
        <is>
          <t>EXT-13</t>
        </is>
      </c>
      <c r="B32" s="14" t="inlineStr">
        <is>
          <t>AI extraction accuracy (real documents)</t>
        </is>
      </c>
      <c r="C32" s="15" t="inlineStr">
        <is>
          <t>P2</t>
        </is>
      </c>
      <c r="D32" s="16" t="inlineStr">
        <is>
          <t>Ingredient name quality</t>
        </is>
      </c>
      <c r="E32" s="14" t="inlineStr">
        <is>
          <t>Formula with CAS numbers, functions and colour codes (CI 77891) beside the INCI name</t>
        </is>
      </c>
      <c r="F32" s="14" t="inlineStr">
        <is>
          <t>Extract.</t>
        </is>
      </c>
      <c r="G32" s="14" t="inlineStr">
        <is>
          <t>Only the INCI name is taken. CAS numbers and functions are not mixed into the name. CI numbers kept. Aqua/Water and Parfum/Fragrance kept as written.</t>
        </is>
      </c>
      <c r="H32" s="17" t="inlineStr">
        <is>
          <t>Not run</t>
        </is>
      </c>
      <c r="I32" s="18" t="inlineStr"/>
      <c r="J32" s="18" t="inlineStr"/>
      <c r="K32" s="17" t="inlineStr"/>
    </row>
    <row r="33">
      <c r="A33" s="13" t="inlineStr">
        <is>
          <t>EXT-14</t>
        </is>
      </c>
      <c r="B33" s="14" t="inlineStr">
        <is>
          <t>AI extraction accuracy (real documents)</t>
        </is>
      </c>
      <c r="C33" s="15" t="inlineStr">
        <is>
          <t>P2</t>
        </is>
      </c>
      <c r="D33" s="16" t="inlineStr">
        <is>
          <t>Long ingredient list</t>
        </is>
      </c>
      <c r="E33" s="14" t="inlineStr">
        <is>
          <t>Formula with 60+ ingredients (and one with 120+)</t>
        </is>
      </c>
      <c r="F33" s="14" t="inlineStr">
        <is>
          <t>Extract.</t>
        </is>
      </c>
      <c r="G33" s="14" t="inlineStr">
        <is>
          <t>Nothing is dropped or merged. Order is kept. (Montaji's Excel import takes max 113 rows - see ING cases.)</t>
        </is>
      </c>
      <c r="H33" s="17" t="inlineStr">
        <is>
          <t>Not run</t>
        </is>
      </c>
      <c r="I33" s="18" t="inlineStr"/>
      <c r="J33" s="18" t="inlineStr"/>
      <c r="K33" s="17" t="inlineStr"/>
    </row>
    <row r="34">
      <c r="A34" s="13" t="inlineStr">
        <is>
          <t>EXT-15</t>
        </is>
      </c>
      <c r="B34" s="14" t="inlineStr">
        <is>
          <t>AI extraction accuracy (real documents)</t>
        </is>
      </c>
      <c r="C34" s="15" t="inlineStr">
        <is>
          <t>P2</t>
        </is>
      </c>
      <c r="D34" s="16" t="inlineStr">
        <is>
          <t>Bilingual Arabic/English label</t>
        </is>
      </c>
      <c r="E34" s="14" t="inlineStr">
        <is>
          <t>Label with both languages</t>
        </is>
      </c>
      <c r="F34" s="14" t="inlineStr">
        <is>
          <t>Extract.</t>
        </is>
      </c>
      <c r="G34" s="14" t="inlineStr">
        <is>
          <t>English values are used. No Arabic text or garbled characters leak into names or ingredients.</t>
        </is>
      </c>
      <c r="H34" s="17" t="inlineStr">
        <is>
          <t>Not run</t>
        </is>
      </c>
      <c r="I34" s="18" t="inlineStr"/>
      <c r="J34" s="18" t="inlineStr"/>
      <c r="K34" s="17" t="inlineStr"/>
    </row>
    <row r="35">
      <c r="A35" s="13" t="inlineStr">
        <is>
          <t>EXT-16</t>
        </is>
      </c>
      <c r="B35" s="14" t="inlineStr">
        <is>
          <t>AI extraction accuracy (real documents)</t>
        </is>
      </c>
      <c r="C35" s="15" t="inlineStr">
        <is>
          <t>P2</t>
        </is>
      </c>
      <c r="D35" s="16" t="inlineStr">
        <is>
          <t>Rotated, cropped or low-quality label photo</t>
        </is>
      </c>
      <c r="E35" s="14" t="inlineStr">
        <is>
          <t>A tilted phone photo</t>
        </is>
      </c>
      <c r="F35" s="14" t="inlineStr">
        <is>
          <t>Extract.</t>
        </is>
      </c>
      <c r="G35" s="14" t="inlineStr">
        <is>
          <t>Either correct data or clear 'could not read' notes. No invented barcodes.</t>
        </is>
      </c>
      <c r="H35" s="17" t="inlineStr">
        <is>
          <t>Not run</t>
        </is>
      </c>
      <c r="I35" s="18" t="inlineStr"/>
      <c r="J35" s="18" t="inlineStr"/>
      <c r="K35" s="17" t="inlineStr"/>
    </row>
    <row r="36">
      <c r="A36" s="13" t="inlineStr">
        <is>
          <t>EXT-17</t>
        </is>
      </c>
      <c r="B36" s="14" t="inlineStr">
        <is>
          <t>AI extraction accuracy (real documents)</t>
        </is>
      </c>
      <c r="C36" s="15" t="inlineStr">
        <is>
          <t>P1</t>
        </is>
      </c>
      <c r="D36" s="16" t="inlineStr">
        <is>
          <t>Barcode accuracy</t>
        </is>
      </c>
      <c r="E36" s="14" t="inlineStr">
        <is>
          <t>Label with barcodes</t>
        </is>
      </c>
      <c r="F36" s="14" t="inlineStr">
        <is>
          <t>Compare each extracted barcode digit by digit with the label.</t>
        </is>
      </c>
      <c r="G36" s="14" t="inlineStr">
        <is>
          <t>All digits match (including the check digit). If a barcode is not visible the field is empty, never made up.</t>
        </is>
      </c>
      <c r="H36" s="17" t="inlineStr">
        <is>
          <t>Not run</t>
        </is>
      </c>
      <c r="I36" s="18" t="inlineStr"/>
      <c r="J36" s="18" t="inlineStr"/>
      <c r="K36" s="17" t="inlineStr"/>
    </row>
    <row r="37">
      <c r="A37" s="13" t="inlineStr">
        <is>
          <t>EXT-18</t>
        </is>
      </c>
      <c r="B37" s="14" t="inlineStr">
        <is>
          <t>AI extraction accuracy (real documents)</t>
        </is>
      </c>
      <c r="C37" s="15" t="inlineStr">
        <is>
          <t>P2</t>
        </is>
      </c>
      <c r="D37" s="16" t="inlineStr">
        <is>
          <t>Barcodes are not reused across variants</t>
        </is>
      </c>
      <c r="E37" s="14" t="inlineStr">
        <is>
          <t>Multi-shade product</t>
        </is>
      </c>
      <c r="F37" s="14" t="inlineStr">
        <is>
          <t>Compare barcodes of all variants.</t>
        </is>
      </c>
      <c r="G37" s="14" t="inlineStr">
        <is>
          <t>Every variant has its own different barcode.</t>
        </is>
      </c>
      <c r="H37" s="17" t="inlineStr">
        <is>
          <t>Not run</t>
        </is>
      </c>
      <c r="I37" s="18" t="inlineStr"/>
      <c r="J37" s="18" t="inlineStr"/>
      <c r="K37" s="17" t="inlineStr"/>
    </row>
    <row r="38">
      <c r="A38" s="13" t="inlineStr">
        <is>
          <t>EXT-19</t>
        </is>
      </c>
      <c r="B38" s="14" t="inlineStr">
        <is>
          <t>AI extraction accuracy (real documents)</t>
        </is>
      </c>
      <c r="C38" s="15" t="inlineStr">
        <is>
          <t>P2</t>
        </is>
      </c>
      <c r="D38" s="16" t="inlineStr">
        <is>
          <t>Shelf life and period after opening</t>
        </is>
      </c>
      <c r="E38" s="14" t="inlineStr">
        <is>
          <t>Labels showing '36 months', PAO icon '12M', and one with neither</t>
        </is>
      </c>
      <c r="F38" s="14" t="inlineStr">
        <is>
          <t>Extract each.</t>
        </is>
      </c>
      <c r="G38" s="14" t="inlineStr">
        <is>
          <t>Shelf life number and period type are right; PAO flag is Yes only when the open-jar icon is shown; blanks stay blank.</t>
        </is>
      </c>
      <c r="H38" s="17" t="inlineStr">
        <is>
          <t>Not run</t>
        </is>
      </c>
      <c r="I38" s="18" t="inlineStr"/>
      <c r="J38" s="18" t="inlineStr"/>
      <c r="K38" s="17" t="inlineStr"/>
    </row>
    <row r="39">
      <c r="A39" s="13" t="inlineStr">
        <is>
          <t>EXT-20</t>
        </is>
      </c>
      <c r="B39" s="14" t="inlineStr">
        <is>
          <t>AI extraction accuracy (real documents)</t>
        </is>
      </c>
      <c r="C39" s="15" t="inlineStr">
        <is>
          <t>P2</t>
        </is>
      </c>
      <c r="D39" s="16" t="inlineStr">
        <is>
          <t>Batch / production / expiry date flags</t>
        </is>
      </c>
      <c r="E39" s="14" t="inlineStr">
        <is>
          <t>Labels with and without printed batch, MFG and EXP</t>
        </is>
      </c>
      <c r="F39" s="14" t="inlineStr">
        <is>
          <t>Extract.</t>
        </is>
      </c>
      <c r="G39" s="14" t="inlineStr">
        <is>
          <t>Each Yes/No flag matches what is really printed. Unknown stays unanswered.</t>
        </is>
      </c>
      <c r="H39" s="17" t="inlineStr">
        <is>
          <t>Not run</t>
        </is>
      </c>
      <c r="I39" s="18" t="inlineStr"/>
      <c r="J39" s="18" t="inlineStr"/>
      <c r="K39" s="17" t="inlineStr"/>
    </row>
    <row r="40">
      <c r="A40" s="13" t="inlineStr">
        <is>
          <t>EXT-21</t>
        </is>
      </c>
      <c r="B40" s="14" t="inlineStr">
        <is>
          <t>AI extraction accuracy (real documents)</t>
        </is>
      </c>
      <c r="C40" s="15" t="inlineStr">
        <is>
          <t>P1</t>
        </is>
      </c>
      <c r="D40" s="16" t="inlineStr">
        <is>
          <t>Classification: common categories</t>
        </is>
      </c>
      <c r="E40" s="14" t="inlineStr">
        <is>
          <t>One product each: face cream, hair gel, lipstick, toothpaste, deodorant, sunscreen, body mist, perfume, baby lotion, hotel amenity</t>
        </is>
      </c>
      <c r="F40" s="14" t="inlineStr">
        <is>
          <t>Extract each and read Group / Category / Sub-category.</t>
        </is>
      </c>
      <c r="G40" s="14" t="inlineStr">
        <is>
          <t>A valid Montaji path each time (fragrances under Fragrances). Doubtful ones show medium/low confidence and are flagged.</t>
        </is>
      </c>
      <c r="H40" s="17" t="inlineStr">
        <is>
          <t>Not run</t>
        </is>
      </c>
      <c r="I40" s="18" t="inlineStr"/>
      <c r="J40" s="18" t="inlineStr"/>
      <c r="K40" s="17" t="inlineStr"/>
    </row>
    <row r="41">
      <c r="A41" s="13" t="inlineStr">
        <is>
          <t>EXT-22</t>
        </is>
      </c>
      <c r="B41" s="14" t="inlineStr">
        <is>
          <t>AI extraction accuracy (real documents)</t>
        </is>
      </c>
      <c r="C41" s="15" t="inlineStr">
        <is>
          <t>P2</t>
        </is>
      </c>
      <c r="D41" s="16" t="inlineStr">
        <is>
          <t>Sub-category with a real value</t>
        </is>
      </c>
      <c r="E41" s="14" t="inlineStr">
        <is>
          <t>Hair and scalp product, body care preparation, hotel amenity, home fragrance</t>
        </is>
      </c>
      <c r="F41" s="14" t="inlineStr">
        <is>
          <t>Extract.</t>
        </is>
      </c>
      <c r="G41" s="14" t="inlineStr">
        <is>
          <t>Sub-category is the specific Montaji value where one exists, otherwise Undefined.</t>
        </is>
      </c>
      <c r="H41" s="17" t="inlineStr">
        <is>
          <t>Not run</t>
        </is>
      </c>
      <c r="I41" s="18" t="inlineStr"/>
      <c r="J41" s="18" t="inlineStr"/>
      <c r="K41" s="17" t="inlineStr"/>
    </row>
    <row r="42">
      <c r="A42" s="13" t="inlineStr">
        <is>
          <t>EXT-23</t>
        </is>
      </c>
      <c r="B42" s="14" t="inlineStr">
        <is>
          <t>AI extraction accuracy (real documents)</t>
        </is>
      </c>
      <c r="C42" s="15" t="inlineStr">
        <is>
          <t>P2</t>
        </is>
      </c>
      <c r="D42" s="16" t="inlineStr">
        <is>
          <t>Products outside the built taxonomy</t>
        </is>
      </c>
      <c r="E42" s="14" t="inlineStr">
        <is>
          <t>A detergent, a biocide and a health supplement</t>
        </is>
      </c>
      <c r="F42" s="14" t="inlineStr">
        <is>
          <t>Extract.</t>
        </is>
      </c>
      <c r="G42" s="14" t="inlineStr">
        <is>
          <t>No wrong path is forced. Classification is empty or low confidence so you choose it yourself. (Known gap: these groups are not built yet.)</t>
        </is>
      </c>
      <c r="H42" s="17" t="inlineStr">
        <is>
          <t>Not run</t>
        </is>
      </c>
      <c r="I42" s="18" t="inlineStr"/>
      <c r="J42" s="18" t="inlineStr"/>
      <c r="K42" s="17" t="inlineStr"/>
    </row>
    <row r="43">
      <c r="A43" s="13" t="inlineStr">
        <is>
          <t>EXT-24</t>
        </is>
      </c>
      <c r="B43" s="14" t="inlineStr">
        <is>
          <t>AI extraction accuracy (real documents)</t>
        </is>
      </c>
      <c r="C43" s="15" t="inlineStr">
        <is>
          <t>P2</t>
        </is>
      </c>
      <c r="D43" s="16" t="inlineStr">
        <is>
          <t>Country of origin wording</t>
        </is>
      </c>
      <c r="E43" s="14" t="inlineStr">
        <is>
          <t>Labels saying 'Made in EU', 'Product of Korea', 'Made in China for Brand X', and brand country differing from factory country</t>
        </is>
      </c>
      <c r="F43" s="14" t="inlineStr">
        <is>
          <t>Extract.</t>
        </is>
      </c>
      <c r="G43" s="14" t="inlineStr">
        <is>
          <t>Country of origin is the manufacturing country, in plain English. Ambiguous cases are noted.</t>
        </is>
      </c>
      <c r="H43" s="17" t="inlineStr">
        <is>
          <t>Not run</t>
        </is>
      </c>
      <c r="I43" s="18" t="inlineStr"/>
      <c r="J43" s="18" t="inlineStr"/>
      <c r="K43" s="17" t="inlineStr"/>
    </row>
    <row r="44">
      <c r="A44" s="13" t="inlineStr">
        <is>
          <t>EXT-25</t>
        </is>
      </c>
      <c r="B44" s="14" t="inlineStr">
        <is>
          <t>AI extraction accuracy (real documents)</t>
        </is>
      </c>
      <c r="C44" s="15" t="inlineStr">
        <is>
          <t>P2</t>
        </is>
      </c>
      <c r="D44" s="16" t="inlineStr">
        <is>
          <t>Brand vs company vs sub-brand</t>
        </is>
      </c>
      <c r="E44" s="14" t="inlineStr">
        <is>
          <t>Label with brand, sub-line and manufacturer (e.g. Skincode / Essentials / S.O.S)</t>
        </is>
      </c>
      <c r="F44" s="14" t="inlineStr">
        <is>
          <t>Extract.</t>
        </is>
      </c>
      <c r="G44" s="14" t="inlineStr">
        <is>
          <t>Brand is the brand name a consumer sees. Manufacturer name is separate. Decide and record which sub-brand form you want.</t>
        </is>
      </c>
      <c r="H44" s="17" t="inlineStr">
        <is>
          <t>Not run</t>
        </is>
      </c>
      <c r="I44" s="18" t="inlineStr"/>
      <c r="J44" s="18" t="inlineStr"/>
      <c r="K44" s="17" t="inlineStr"/>
    </row>
    <row r="45">
      <c r="A45" s="13" t="inlineStr">
        <is>
          <t>EXT-26</t>
        </is>
      </c>
      <c r="B45" s="14" t="inlineStr">
        <is>
          <t>AI extraction accuracy (real documents)</t>
        </is>
      </c>
      <c r="C45" s="15" t="inlineStr">
        <is>
          <t>P2</t>
        </is>
      </c>
      <c r="D45" s="16" t="inlineStr">
        <is>
          <t>Product name</t>
        </is>
      </c>
      <c r="E45" s="14" t="inlineStr">
        <is>
          <t>Label where the product name appears with variant words or marketing text</t>
        </is>
      </c>
      <c r="F45" s="14" t="inlineStr">
        <is>
          <t>Extract.</t>
        </is>
      </c>
      <c r="G45" s="14" t="inlineStr">
        <is>
          <t>Name is the base product name, not the shade or size. It matches what you would type on Montaji.</t>
        </is>
      </c>
      <c r="H45" s="17" t="inlineStr">
        <is>
          <t>Not run</t>
        </is>
      </c>
      <c r="I45" s="18" t="inlineStr"/>
      <c r="J45" s="18" t="inlineStr"/>
      <c r="K45" s="17" t="inlineStr"/>
    </row>
    <row r="46">
      <c r="A46" s="13" t="inlineStr">
        <is>
          <t>EXT-27</t>
        </is>
      </c>
      <c r="B46" s="14" t="inlineStr">
        <is>
          <t>AI extraction accuracy (real documents)</t>
        </is>
      </c>
      <c r="C46" s="15" t="inlineStr">
        <is>
          <t>P2</t>
        </is>
      </c>
      <c r="D46" s="16" t="inlineStr">
        <is>
          <t>Label only / certificate only sets</t>
        </is>
      </c>
      <c r="E46" s="14" t="inlineStr">
        <is>
          <t>Label alone; formula + certificate without label</t>
        </is>
      </c>
      <c r="F46" s="14" t="inlineStr">
        <is>
          <t>Extract each.</t>
        </is>
      </c>
      <c r="G46" s="14" t="inlineStr">
        <is>
          <t>Extraction succeeds with what exists. Missing items (barcode, ingredients, certificate) are reported.</t>
        </is>
      </c>
      <c r="H46" s="17" t="inlineStr">
        <is>
          <t>Not run</t>
        </is>
      </c>
      <c r="I46" s="18" t="inlineStr"/>
      <c r="J46" s="18" t="inlineStr"/>
      <c r="K46" s="17" t="inlineStr"/>
    </row>
    <row r="47">
      <c r="A47" s="13" t="inlineStr">
        <is>
          <t>EXT-28</t>
        </is>
      </c>
      <c r="B47" s="14" t="inlineStr">
        <is>
          <t>AI extraction accuracy (real documents)</t>
        </is>
      </c>
      <c r="C47" s="15" t="inlineStr">
        <is>
          <t>P2</t>
        </is>
      </c>
      <c r="D47" s="16" t="inlineStr">
        <is>
          <t>Certificate in another language</t>
        </is>
      </c>
      <c r="E47" s="14" t="inlineStr">
        <is>
          <t>Free Sale certificate in Arabic or French</t>
        </is>
      </c>
      <c r="F47" s="14" t="inlineStr">
        <is>
          <t>Extract.</t>
        </is>
      </c>
      <c r="G47" s="14" t="inlineStr">
        <is>
          <t>Certificate number and issuing country are read. The product match is judged sensibly or reported as unclear.</t>
        </is>
      </c>
      <c r="H47" s="17" t="inlineStr">
        <is>
          <t>Not run</t>
        </is>
      </c>
      <c r="I47" s="18" t="inlineStr"/>
      <c r="J47" s="18" t="inlineStr"/>
      <c r="K47" s="17" t="inlineStr"/>
    </row>
    <row r="48">
      <c r="A48" s="13" t="inlineStr">
        <is>
          <t>EXT-29</t>
        </is>
      </c>
      <c r="B48" s="14" t="inlineStr">
        <is>
          <t>AI extraction accuracy (real documents)</t>
        </is>
      </c>
      <c r="C48" s="15" t="inlineStr">
        <is>
          <t>P1</t>
        </is>
      </c>
      <c r="D48" s="16" t="inlineStr">
        <is>
          <t>Re-run extraction</t>
        </is>
      </c>
      <c r="E48" s="14" t="inlineStr">
        <is>
          <t>Any extracted product with edits</t>
        </is>
      </c>
      <c r="F48" s="14" t="inlineStr">
        <is>
          <t>Edit a field, press Re-run extraction and confirm.</t>
        </is>
      </c>
      <c r="G48" s="14" t="inlineStr">
        <is>
          <t>A confirmation warns edits will be overwritten. The new result replaces the old. Warnings disappear during the run and return only if the problem still exists.</t>
        </is>
      </c>
      <c r="H48" s="17" t="inlineStr">
        <is>
          <t>Not run</t>
        </is>
      </c>
      <c r="I48" s="18" t="inlineStr"/>
      <c r="J48" s="18" t="inlineStr"/>
      <c r="K48" s="17" t="inlineStr"/>
    </row>
    <row r="49">
      <c r="A49" s="13" t="inlineStr">
        <is>
          <t>EXT-30</t>
        </is>
      </c>
      <c r="B49" s="14" t="inlineStr">
        <is>
          <t>AI extraction accuracy (real documents)</t>
        </is>
      </c>
      <c r="C49" s="15" t="inlineStr">
        <is>
          <t>P2</t>
        </is>
      </c>
      <c r="D49" s="16" t="inlineStr">
        <is>
          <t>Many large files</t>
        </is>
      </c>
      <c r="E49" s="14" t="inlineStr">
        <is>
          <t>Six files, 1-5 MB each</t>
        </is>
      </c>
      <c r="F49" s="14" t="inlineStr">
        <is>
          <t>Extract and time it.</t>
        </is>
      </c>
      <c r="G49" s="14" t="inlineStr">
        <is>
          <t>Finishes within about 25 seconds, or shows a clear 'AI busy / not in time' message that you can retry.</t>
        </is>
      </c>
      <c r="H49" s="17" t="inlineStr">
        <is>
          <t>Not run</t>
        </is>
      </c>
      <c r="I49" s="18" t="inlineStr"/>
      <c r="J49" s="18" t="inlineStr"/>
      <c r="K49" s="17" t="inlineStr"/>
    </row>
    <row r="50">
      <c r="A50" s="13" t="inlineStr">
        <is>
          <t>EXT-31</t>
        </is>
      </c>
      <c r="B50" s="14" t="inlineStr">
        <is>
          <t>AI extraction accuracy (real documents)</t>
        </is>
      </c>
      <c r="C50" s="15" t="inlineStr">
        <is>
          <t>P2</t>
        </is>
      </c>
      <c r="D50" s="16" t="inlineStr">
        <is>
          <t>Corrupt or locked PDF</t>
        </is>
      </c>
      <c r="E50" s="14" t="inlineStr">
        <is>
          <t>A password-protected PDF and a damaged file</t>
        </is>
      </c>
      <c r="F50" s="14" t="inlineStr">
        <is>
          <t>Include one with good files and extract.</t>
        </is>
      </c>
      <c r="G50" s="14" t="inlineStr">
        <is>
          <t>A readable error or the good files are still used. The page never freezes.</t>
        </is>
      </c>
      <c r="H50" s="17" t="inlineStr">
        <is>
          <t>Not run</t>
        </is>
      </c>
      <c r="I50" s="18" t="inlineStr"/>
      <c r="J50" s="18" t="inlineStr"/>
      <c r="K50" s="17" t="inlineStr"/>
    </row>
    <row r="51">
      <c r="A51" s="13" t="inlineStr">
        <is>
          <t>EXT-32</t>
        </is>
      </c>
      <c r="B51" s="14" t="inlineStr">
        <is>
          <t>AI extraction accuracy (real documents)</t>
        </is>
      </c>
      <c r="C51" s="15" t="inlineStr">
        <is>
          <t>P3</t>
        </is>
      </c>
      <c r="D51" s="16" t="inlineStr">
        <is>
          <t>Two products with the same documents</t>
        </is>
      </c>
      <c r="E51" s="14" t="inlineStr">
        <is>
          <t>Same set uploaded to two RegPilot products</t>
        </is>
      </c>
      <c r="F51" s="14" t="inlineStr">
        <is>
          <t>Extract both.</t>
        </is>
      </c>
      <c r="G51" s="14" t="inlineStr">
        <is>
          <t>Same results, no cross-contamination of data between products.</t>
        </is>
      </c>
      <c r="H51" s="17" t="inlineStr">
        <is>
          <t>Not run</t>
        </is>
      </c>
      <c r="I51" s="18" t="inlineStr"/>
      <c r="J51" s="18" t="inlineStr"/>
      <c r="K51" s="17" t="inlineStr"/>
    </row>
    <row r="52">
      <c r="A52" s="13" t="inlineStr">
        <is>
          <t>REV-01</t>
        </is>
      </c>
      <c r="B52" s="14" t="inlineStr">
        <is>
          <t>Review &amp; edit screen</t>
        </is>
      </c>
      <c r="C52" s="15" t="inlineStr">
        <is>
          <t>P1</t>
        </is>
      </c>
      <c r="D52" s="16" t="inlineStr">
        <is>
          <t>Every field can be edited and saved</t>
        </is>
      </c>
      <c r="E52" s="14" t="inlineStr">
        <is>
          <t>An extracted product</t>
        </is>
      </c>
      <c r="F52" s="14" t="inlineStr">
        <is>
          <t>Change name, brand, country, manufacturer fields, certificate number; Save changes; refresh.</t>
        </is>
      </c>
      <c r="G52" s="14" t="inlineStr">
        <is>
          <t>All edits persist after the refresh.</t>
        </is>
      </c>
      <c r="H52" s="17" t="inlineStr">
        <is>
          <t>Not run</t>
        </is>
      </c>
      <c r="I52" s="18" t="inlineStr"/>
      <c r="J52" s="18" t="inlineStr"/>
      <c r="K52" s="17" t="inlineStr"/>
    </row>
    <row r="53">
      <c r="A53" s="13" t="inlineStr">
        <is>
          <t>REV-02</t>
        </is>
      </c>
      <c r="B53" s="14" t="inlineStr">
        <is>
          <t>Review &amp; edit screen</t>
        </is>
      </c>
      <c r="C53" s="15" t="inlineStr">
        <is>
          <t>P1</t>
        </is>
      </c>
      <c r="D53" s="16" t="inlineStr">
        <is>
          <t>Classification dropdowns depend on each other</t>
        </is>
      </c>
      <c r="E53" s="14" t="inlineStr">
        <is>
          <t>Extracted product</t>
        </is>
      </c>
      <c r="F53" s="14" t="inlineStr">
        <is>
          <t>Change Group, then Category, then Sub-category.</t>
        </is>
      </c>
      <c r="G53" s="14" t="inlineStr">
        <is>
          <t>Category list changes with Group; Sub-category with Category. After you change it the confidence flag stops warning.</t>
        </is>
      </c>
      <c r="H53" s="17" t="inlineStr">
        <is>
          <t>Not run</t>
        </is>
      </c>
      <c r="I53" s="18" t="inlineStr"/>
      <c r="J53" s="18" t="inlineStr"/>
      <c r="K53" s="17" t="inlineStr"/>
    </row>
    <row r="54">
      <c r="A54" s="13" t="inlineStr">
        <is>
          <t>REV-03</t>
        </is>
      </c>
      <c r="B54" s="14" t="inlineStr">
        <is>
          <t>Review &amp; edit screen</t>
        </is>
      </c>
      <c r="C54" s="15" t="inlineStr">
        <is>
          <t>P1</t>
        </is>
      </c>
      <c r="D54" s="16" t="inlineStr">
        <is>
          <t>Variants: add, edit, remove</t>
        </is>
      </c>
      <c r="E54" s="14" t="inlineStr">
        <is>
          <t>Extracted product</t>
        </is>
      </c>
      <c r="F54" s="14" t="inlineStr">
        <is>
          <t>Add a variant; fill barcode, shade, scent, size, unit; remove another.</t>
        </is>
      </c>
      <c r="G54" s="14" t="inlineStr">
        <is>
          <t>Rows behave correctly. Shade/scent left empty become NA when saved.</t>
        </is>
      </c>
      <c r="H54" s="17" t="inlineStr">
        <is>
          <t>Not run</t>
        </is>
      </c>
      <c r="I54" s="18" t="inlineStr"/>
      <c r="J54" s="18" t="inlineStr"/>
      <c r="K54" s="17" t="inlineStr"/>
    </row>
    <row r="55">
      <c r="A55" s="13" t="inlineStr">
        <is>
          <t>REV-04</t>
        </is>
      </c>
      <c r="B55" s="14" t="inlineStr">
        <is>
          <t>Review &amp; edit screen</t>
        </is>
      </c>
      <c r="C55" s="15" t="inlineStr">
        <is>
          <t>P1</t>
        </is>
      </c>
      <c r="D55" s="16" t="inlineStr">
        <is>
          <t>Ingredients: add, edit, remove, reorder by retyping</t>
        </is>
      </c>
      <c r="E55" s="14" t="inlineStr">
        <is>
          <t>Extracted product</t>
        </is>
      </c>
      <c r="F55" s="14" t="inlineStr">
        <is>
          <t>Edit a name and percentage, add one, remove one, save.</t>
        </is>
      </c>
      <c r="G55" s="14" t="inlineStr">
        <is>
          <t>Saved list matches exactly.</t>
        </is>
      </c>
      <c r="H55" s="17" t="inlineStr">
        <is>
          <t>Not run</t>
        </is>
      </c>
      <c r="I55" s="18" t="inlineStr"/>
      <c r="J55" s="18" t="inlineStr"/>
      <c r="K55" s="17" t="inlineStr"/>
    </row>
    <row r="56">
      <c r="A56" s="13" t="inlineStr">
        <is>
          <t>REV-05</t>
        </is>
      </c>
      <c r="B56" s="14" t="inlineStr">
        <is>
          <t>Review &amp; edit screen</t>
        </is>
      </c>
      <c r="C56" s="15" t="inlineStr">
        <is>
          <t>P2</t>
        </is>
      </c>
      <c r="D56" s="16" t="inlineStr">
        <is>
          <t>Yes/No flags</t>
        </is>
      </c>
      <c r="E56" s="14" t="inlineStr">
        <is>
          <t>Extracted product</t>
        </is>
      </c>
      <c r="F56" s="14" t="inlineStr">
        <is>
          <t>Set each of the four flags (production date, expiry, batch, period after opening) to Yes, No and unanswered.</t>
        </is>
      </c>
      <c r="G56" s="14" t="inlineStr">
        <is>
          <t>Each is stored as chosen. Unanswered shows in the checklist.</t>
        </is>
      </c>
      <c r="H56" s="17" t="inlineStr">
        <is>
          <t>Not run</t>
        </is>
      </c>
      <c r="I56" s="18" t="inlineStr"/>
      <c r="J56" s="18" t="inlineStr"/>
      <c r="K56" s="17" t="inlineStr"/>
    </row>
    <row r="57">
      <c r="A57" s="13" t="inlineStr">
        <is>
          <t>REV-06</t>
        </is>
      </c>
      <c r="B57" s="14" t="inlineStr">
        <is>
          <t>Review &amp; edit screen</t>
        </is>
      </c>
      <c r="C57" s="15" t="inlineStr">
        <is>
          <t>P1</t>
        </is>
      </c>
      <c r="D57" s="16" t="inlineStr">
        <is>
          <t>Save changes vs Save &amp; mark ready</t>
        </is>
      </c>
      <c r="E57" s="14" t="inlineStr">
        <is>
          <t>Extracted product</t>
        </is>
      </c>
      <c r="F57" s="14" t="inlineStr">
        <is>
          <t>Press each and check the status badge.</t>
        </is>
      </c>
      <c r="G57" s="14" t="inlineStr">
        <is>
          <t>Save changes keeps 'Extracted'. Save &amp; mark ready sets 'Ready to fill' and shows the Send to extension box.</t>
        </is>
      </c>
      <c r="H57" s="17" t="inlineStr">
        <is>
          <t>Not run</t>
        </is>
      </c>
      <c r="I57" s="18" t="inlineStr"/>
      <c r="J57" s="18" t="inlineStr"/>
      <c r="K57" s="17" t="inlineStr"/>
    </row>
    <row r="58">
      <c r="A58" s="13" t="inlineStr">
        <is>
          <t>REV-07</t>
        </is>
      </c>
      <c r="B58" s="14" t="inlineStr">
        <is>
          <t>Review &amp; edit screen</t>
        </is>
      </c>
      <c r="C58" s="15" t="inlineStr">
        <is>
          <t>P1</t>
        </is>
      </c>
      <c r="D58" s="16" t="inlineStr">
        <is>
          <t>Product name edit reaches the dashboard</t>
        </is>
      </c>
      <c r="E58" s="14" t="inlineStr">
        <is>
          <t>Extracted product</t>
        </is>
      </c>
      <c r="F58" s="14" t="inlineStr">
        <is>
          <t>Change the product name and save. Go to the dashboard.</t>
        </is>
      </c>
      <c r="G58" s="14" t="inlineStr">
        <is>
          <t>The new name is in the table.</t>
        </is>
      </c>
      <c r="H58" s="17" t="inlineStr">
        <is>
          <t>Not run</t>
        </is>
      </c>
      <c r="I58" s="18" t="inlineStr"/>
      <c r="J58" s="18" t="inlineStr"/>
      <c r="K58" s="17" t="inlineStr"/>
    </row>
    <row r="59">
      <c r="A59" s="13" t="inlineStr">
        <is>
          <t>REV-08</t>
        </is>
      </c>
      <c r="B59" s="14" t="inlineStr">
        <is>
          <t>Review &amp; edit screen</t>
        </is>
      </c>
      <c r="C59" s="15" t="inlineStr">
        <is>
          <t>P1</t>
        </is>
      </c>
      <c r="D59" s="16" t="inlineStr">
        <is>
          <t>Checklist 'Before you send this to Montaji'</t>
        </is>
      </c>
      <c r="E59" s="14" t="inlineStr">
        <is>
          <t>Product with missing barcode, size, percentages</t>
        </is>
      </c>
      <c r="F59" s="14" t="inlineStr">
        <is>
          <t>Fill the items in one at a time.</t>
        </is>
      </c>
      <c r="G59" s="14" t="inlineStr">
        <is>
          <t>Each item disappears as soon as it is fixed. When everything is complete the box is gone.</t>
        </is>
      </c>
      <c r="H59" s="17" t="inlineStr">
        <is>
          <t>Not run</t>
        </is>
      </c>
      <c r="I59" s="18" t="inlineStr"/>
      <c r="J59" s="18" t="inlineStr"/>
      <c r="K59" s="17" t="inlineStr"/>
    </row>
    <row r="60">
      <c r="A60" s="13" t="inlineStr">
        <is>
          <t>REV-09</t>
        </is>
      </c>
      <c r="B60" s="14" t="inlineStr">
        <is>
          <t>Review &amp; edit screen</t>
        </is>
      </c>
      <c r="C60" s="15" t="inlineStr">
        <is>
          <t>P2</t>
        </is>
      </c>
      <c r="D60" s="16" t="inlineStr">
        <is>
          <t>Country hint for certificates</t>
        </is>
      </c>
      <c r="E60" s="14" t="inlineStr">
        <is>
          <t>Extracted product</t>
        </is>
      </c>
      <c r="F60" s="14" t="inlineStr">
        <is>
          <t>Change the country to UAE and back to a foreign country.</t>
        </is>
      </c>
      <c r="G60" s="14" t="inlineStr">
        <is>
          <t>The hint switches between 'GMP certificate' and 'Free Sale certificate'.</t>
        </is>
      </c>
      <c r="H60" s="17" t="inlineStr">
        <is>
          <t>Not run</t>
        </is>
      </c>
      <c r="I60" s="18" t="inlineStr"/>
      <c r="J60" s="18" t="inlineStr"/>
      <c r="K60" s="17" t="inlineStr"/>
    </row>
    <row r="61">
      <c r="A61" s="13" t="inlineStr">
        <is>
          <t>REV-10</t>
        </is>
      </c>
      <c r="B61" s="14" t="inlineStr">
        <is>
          <t>Review &amp; edit screen</t>
        </is>
      </c>
      <c r="C61" s="15" t="inlineStr">
        <is>
          <t>P3</t>
        </is>
      </c>
      <c r="D61" s="16" t="inlineStr">
        <is>
          <t>Special characters in text</t>
        </is>
      </c>
      <c r="E61" s="14" t="inlineStr">
        <is>
          <t>Name or ingredient with &amp; &lt; &gt; " ' / Arabic</t>
        </is>
      </c>
      <c r="F61" s="14" t="inlineStr">
        <is>
          <t>Type them, save, reload.</t>
        </is>
      </c>
      <c r="G61" s="14" t="inlineStr">
        <is>
          <t>They come back exactly. No cut-offs or HTML garbage.</t>
        </is>
      </c>
      <c r="H61" s="17" t="inlineStr">
        <is>
          <t>Not run</t>
        </is>
      </c>
      <c r="I61" s="18" t="inlineStr"/>
      <c r="J61" s="18" t="inlineStr"/>
      <c r="K61" s="17" t="inlineStr"/>
    </row>
    <row r="62">
      <c r="A62" s="13" t="inlineStr">
        <is>
          <t>REV-11</t>
        </is>
      </c>
      <c r="B62" s="14" t="inlineStr">
        <is>
          <t>Review &amp; edit screen</t>
        </is>
      </c>
      <c r="C62" s="15" t="inlineStr">
        <is>
          <t>P2</t>
        </is>
      </c>
      <c r="D62" s="16" t="inlineStr">
        <is>
          <t>Leaving with unsaved edits</t>
        </is>
      </c>
      <c r="E62" s="14" t="inlineStr">
        <is>
          <t>Extracted product</t>
        </is>
      </c>
      <c r="F62" s="14" t="inlineStr">
        <is>
          <t>Edit a field, press Back to dashboard without saving, reopen.</t>
        </is>
      </c>
      <c r="G62" s="14" t="inlineStr">
        <is>
          <t>Record what happens (edits lost or kept). If lost without warning, log as an improvement.</t>
        </is>
      </c>
      <c r="H62" s="17" t="inlineStr">
        <is>
          <t>Not run</t>
        </is>
      </c>
      <c r="I62" s="18" t="inlineStr"/>
      <c r="J62" s="18" t="inlineStr"/>
      <c r="K62" s="17" t="inlineStr"/>
    </row>
    <row r="63">
      <c r="A63" s="13" t="inlineStr">
        <is>
          <t>REV-12</t>
        </is>
      </c>
      <c r="B63" s="14" t="inlineStr">
        <is>
          <t>Review &amp; edit screen</t>
        </is>
      </c>
      <c r="C63" s="15" t="inlineStr">
        <is>
          <t>P2</t>
        </is>
      </c>
      <c r="D63" s="16" t="inlineStr">
        <is>
          <t>Manual status dropdown</t>
        </is>
      </c>
      <c r="E63" s="14" t="inlineStr">
        <is>
          <t>Any product</t>
        </is>
      </c>
      <c r="F63" s="14" t="inlineStr">
        <is>
          <t>Set Submitted, Approved, Rejected, then back.</t>
        </is>
      </c>
      <c r="G63" s="14" t="inlineStr">
        <is>
          <t>Each choice persists after refresh and the badge on the dashboard changes.</t>
        </is>
      </c>
      <c r="H63" s="17" t="inlineStr">
        <is>
          <t>Not run</t>
        </is>
      </c>
      <c r="I63" s="18" t="inlineStr"/>
      <c r="J63" s="18" t="inlineStr"/>
      <c r="K63" s="17" t="inlineStr"/>
    </row>
    <row r="64">
      <c r="A64" s="13" t="inlineStr">
        <is>
          <t>WRN-01</t>
        </is>
      </c>
      <c r="B64" s="14" t="inlineStr">
        <is>
          <t>Document warnings (red box above the review form)</t>
        </is>
      </c>
      <c r="C64" s="15" t="inlineStr">
        <is>
          <t>P1</t>
        </is>
      </c>
      <c r="D64" s="16" t="inlineStr">
        <is>
          <t>Certificate names the product exactly</t>
        </is>
      </c>
      <c r="E64" s="14" t="inlineStr">
        <is>
          <t>Free Sale certificate listing the exact product name</t>
        </is>
      </c>
      <c r="F64" s="14" t="inlineStr">
        <is>
          <t>Extract.</t>
        </is>
      </c>
      <c r="G64" s="14" t="inlineStr">
        <is>
          <t>No red warning.</t>
        </is>
      </c>
      <c r="H64" s="17" t="inlineStr">
        <is>
          <t>Not run</t>
        </is>
      </c>
      <c r="I64" s="18" t="inlineStr"/>
      <c r="J64" s="18" t="inlineStr"/>
      <c r="K64" s="17" t="inlineStr"/>
    </row>
    <row r="65">
      <c r="A65" s="13" t="inlineStr">
        <is>
          <t>WRN-02</t>
        </is>
      </c>
      <c r="B65" s="14" t="inlineStr">
        <is>
          <t>Document warnings (red box above the review form)</t>
        </is>
      </c>
      <c r="C65" s="15" t="inlineStr">
        <is>
          <t>P1</t>
        </is>
      </c>
      <c r="D65" s="16" t="inlineStr">
        <is>
          <t>Certificate uses close wording</t>
        </is>
      </c>
      <c r="E65" s="14" t="inlineStr">
        <is>
          <t>Certificate saying 'Gatsby Styling Gel Wet &amp; Hard' for 'Gatsby Styling Gel Wet and Hard Super Hard'</t>
        </is>
      </c>
      <c r="F65" s="14" t="inlineStr">
        <is>
          <t>Extract.</t>
        </is>
      </c>
      <c r="G65" s="14" t="inlineStr">
        <is>
          <t>No warning (close match is accepted).</t>
        </is>
      </c>
      <c r="H65" s="17" t="inlineStr">
        <is>
          <t>Not run</t>
        </is>
      </c>
      <c r="I65" s="18" t="inlineStr"/>
      <c r="J65" s="18" t="inlineStr"/>
      <c r="K65" s="17" t="inlineStr"/>
    </row>
    <row r="66">
      <c r="A66" s="13" t="inlineStr">
        <is>
          <t>WRN-03</t>
        </is>
      </c>
      <c r="B66" s="14" t="inlineStr">
        <is>
          <t>Document warnings (red box above the review form)</t>
        </is>
      </c>
      <c r="C66" s="15" t="inlineStr">
        <is>
          <t>P1</t>
        </is>
      </c>
      <c r="D66" s="16" t="inlineStr">
        <is>
          <t>Certificate for a different product of the same brand</t>
        </is>
      </c>
      <c r="E66" s="14" t="inlineStr">
        <is>
          <t>Free Sale certificate listing another product only</t>
        </is>
      </c>
      <c r="F66" s="14" t="inlineStr">
        <is>
          <t>Extract.</t>
        </is>
      </c>
      <c r="G66" s="14" t="inlineStr">
        <is>
          <t>Red box: certificate does not seem to list the product, with the products it does list.</t>
        </is>
      </c>
      <c r="H66" s="17" t="inlineStr">
        <is>
          <t>Not run</t>
        </is>
      </c>
      <c r="I66" s="18" t="inlineStr"/>
      <c r="J66" s="18" t="inlineStr"/>
      <c r="K66" s="17" t="inlineStr"/>
    </row>
    <row r="67">
      <c r="A67" s="13" t="inlineStr">
        <is>
          <t>WRN-04</t>
        </is>
      </c>
      <c r="B67" s="14" t="inlineStr">
        <is>
          <t>Document warnings (red box above the review form)</t>
        </is>
      </c>
      <c r="C67" s="15" t="inlineStr">
        <is>
          <t>P2</t>
        </is>
      </c>
      <c r="D67" s="16" t="inlineStr">
        <is>
          <t>Certificate lists many products</t>
        </is>
      </c>
      <c r="E67" s="14" t="inlineStr">
        <is>
          <t>A multi-page certificate with 30+ products including yours</t>
        </is>
      </c>
      <c r="F67" s="14" t="inlineStr">
        <is>
          <t>Extract.</t>
        </is>
      </c>
      <c r="G67" s="14" t="inlineStr">
        <is>
          <t>No warning, because the product is found in the list.</t>
        </is>
      </c>
      <c r="H67" s="17" t="inlineStr">
        <is>
          <t>Not run</t>
        </is>
      </c>
      <c r="I67" s="18" t="inlineStr"/>
      <c r="J67" s="18" t="inlineStr"/>
      <c r="K67" s="17" t="inlineStr"/>
    </row>
    <row r="68">
      <c r="A68" s="13" t="inlineStr">
        <is>
          <t>WRN-05</t>
        </is>
      </c>
      <c r="B68" s="14" t="inlineStr">
        <is>
          <t>Document warnings (red box above the review form)</t>
        </is>
      </c>
      <c r="C68" s="15" t="inlineStr">
        <is>
          <t>P1</t>
        </is>
      </c>
      <c r="D68" s="16" t="inlineStr">
        <is>
          <t>No certificate uploaded (foreign product)</t>
        </is>
      </c>
      <c r="E68" s="14" t="inlineStr">
        <is>
          <t>Label and formula only, country not UAE</t>
        </is>
      </c>
      <c r="F68" s="14" t="inlineStr">
        <is>
          <t>Extract.</t>
        </is>
      </c>
      <c r="G68" s="14" t="inlineStr">
        <is>
          <t>Red box: no Certificate of Free Sale found.</t>
        </is>
      </c>
      <c r="H68" s="17" t="inlineStr">
        <is>
          <t>Not run</t>
        </is>
      </c>
      <c r="I68" s="18" t="inlineStr"/>
      <c r="J68" s="18" t="inlineStr"/>
      <c r="K68" s="17" t="inlineStr"/>
    </row>
    <row r="69">
      <c r="A69" s="13" t="inlineStr">
        <is>
          <t>WRN-06</t>
        </is>
      </c>
      <c r="B69" s="14" t="inlineStr">
        <is>
          <t>Document warnings (red box above the review form)</t>
        </is>
      </c>
      <c r="C69" s="15" t="inlineStr">
        <is>
          <t>P1</t>
        </is>
      </c>
      <c r="D69" s="16" t="inlineStr">
        <is>
          <t>UAE product: no Free Sale warning</t>
        </is>
      </c>
      <c r="E69" s="14" t="inlineStr">
        <is>
          <t>UAE label + GMP</t>
        </is>
      </c>
      <c r="F69" s="14" t="inlineStr">
        <is>
          <t>Extract.</t>
        </is>
      </c>
      <c r="G69" s="14" t="inlineStr">
        <is>
          <t>No Free Sale warning. (Known gap: nothing warns if the GMP certificate is missing - decide if you want that.)</t>
        </is>
      </c>
      <c r="H69" s="17" t="inlineStr">
        <is>
          <t>Not run</t>
        </is>
      </c>
      <c r="I69" s="18" t="inlineStr"/>
      <c r="J69" s="18" t="inlineStr"/>
      <c r="K69" s="17" t="inlineStr"/>
    </row>
    <row r="70">
      <c r="A70" s="13" t="inlineStr">
        <is>
          <t>WRN-07</t>
        </is>
      </c>
      <c r="B70" s="14" t="inlineStr">
        <is>
          <t>Document warnings (red box above the review form)</t>
        </is>
      </c>
      <c r="C70" s="15" t="inlineStr">
        <is>
          <t>P1</t>
        </is>
      </c>
      <c r="D70" s="16" t="inlineStr">
        <is>
          <t>Formula for the wrong product</t>
        </is>
      </c>
      <c r="E70" s="14" t="inlineStr">
        <is>
          <t>Real2 style set: composition certificate for a body scrub with a fragrance-mist label</t>
        </is>
      </c>
      <c r="F70" s="14" t="inlineStr">
        <is>
          <t>Extract.</t>
        </is>
      </c>
      <c r="G70" s="14" t="inlineStr">
        <is>
          <t>Red box names the wrong file and the product it describes. Its ingredients are not used (they come from the label).</t>
        </is>
      </c>
      <c r="H70" s="17" t="inlineStr">
        <is>
          <t>Not run</t>
        </is>
      </c>
      <c r="I70" s="18" t="inlineStr"/>
      <c r="J70" s="18" t="inlineStr"/>
      <c r="K70" s="17" t="inlineStr"/>
    </row>
    <row r="71">
      <c r="A71" s="13" t="inlineStr">
        <is>
          <t>WRN-08</t>
        </is>
      </c>
      <c r="B71" s="14" t="inlineStr">
        <is>
          <t>Document warnings (red box above the review form)</t>
        </is>
      </c>
      <c r="C71" s="15" t="inlineStr">
        <is>
          <t>P2</t>
        </is>
      </c>
      <c r="D71" s="16" t="inlineStr">
        <is>
          <t>Wrong analysis certificate</t>
        </is>
      </c>
      <c r="E71" s="14" t="inlineStr">
        <is>
          <t>COA for another product</t>
        </is>
      </c>
      <c r="F71" s="14" t="inlineStr">
        <is>
          <t>Extract.</t>
        </is>
      </c>
      <c r="G71" s="14" t="inlineStr">
        <is>
          <t>Red box flags the COA as a different product.</t>
        </is>
      </c>
      <c r="H71" s="17" t="inlineStr">
        <is>
          <t>Not run</t>
        </is>
      </c>
      <c r="I71" s="18" t="inlineStr"/>
      <c r="J71" s="18" t="inlineStr"/>
      <c r="K71" s="17" t="inlineStr"/>
    </row>
    <row r="72">
      <c r="A72" s="13" t="inlineStr">
        <is>
          <t>WRN-09</t>
        </is>
      </c>
      <c r="B72" s="14" t="inlineStr">
        <is>
          <t>Document warnings (red box above the review form)</t>
        </is>
      </c>
      <c r="C72" s="15" t="inlineStr">
        <is>
          <t>P2</t>
        </is>
      </c>
      <c r="D72" s="16" t="inlineStr">
        <is>
          <t>Renaming after extraction</t>
        </is>
      </c>
      <c r="E72" s="14" t="inlineStr">
        <is>
          <t>Product with a matching certificate</t>
        </is>
      </c>
      <c r="F72" s="14" t="inlineStr">
        <is>
          <t>Rename the product to something unrelated and save.</t>
        </is>
      </c>
      <c r="G72" s="14" t="inlineStr">
        <is>
          <t>Red box: the name was changed and no longer matches the certificate line.</t>
        </is>
      </c>
      <c r="H72" s="17" t="inlineStr">
        <is>
          <t>Not run</t>
        </is>
      </c>
      <c r="I72" s="18" t="inlineStr"/>
      <c r="J72" s="18" t="inlineStr"/>
      <c r="K72" s="17" t="inlineStr"/>
    </row>
    <row r="73">
      <c r="A73" s="13" t="inlineStr">
        <is>
          <t>WRN-10</t>
        </is>
      </c>
      <c r="B73" s="14" t="inlineStr">
        <is>
          <t>Document warnings (red box above the review form)</t>
        </is>
      </c>
      <c r="C73" s="15" t="inlineStr">
        <is>
          <t>P1</t>
        </is>
      </c>
      <c r="D73" s="16" t="inlineStr">
        <is>
          <t>Warning hides during re-run and returns</t>
        </is>
      </c>
      <c r="E73" s="14" t="inlineStr">
        <is>
          <t>Product with a warning</t>
        </is>
      </c>
      <c r="F73" s="14" t="inlineStr">
        <is>
          <t>Press Re-run extraction.</t>
        </is>
      </c>
      <c r="G73" s="14" t="inlineStr">
        <is>
          <t>The red box vanishes immediately, then returns only if the same problem is found again.</t>
        </is>
      </c>
      <c r="H73" s="17" t="inlineStr">
        <is>
          <t>Not run</t>
        </is>
      </c>
      <c r="I73" s="18" t="inlineStr"/>
      <c r="J73" s="18" t="inlineStr"/>
      <c r="K73" s="17" t="inlineStr"/>
    </row>
    <row r="74">
      <c r="A74" s="13" t="inlineStr">
        <is>
          <t>WRN-11</t>
        </is>
      </c>
      <c r="B74" s="14" t="inlineStr">
        <is>
          <t>Document warnings (red box above the review form)</t>
        </is>
      </c>
      <c r="C74" s="15" t="inlineStr">
        <is>
          <t>P2</t>
        </is>
      </c>
      <c r="D74" s="16" t="inlineStr">
        <is>
          <t>No warning on a draft</t>
        </is>
      </c>
      <c r="E74" s="14" t="inlineStr">
        <is>
          <t>New product with no extraction yet</t>
        </is>
      </c>
      <c r="F74" s="14" t="inlineStr">
        <is>
          <t>Open it.</t>
        </is>
      </c>
      <c r="G74" s="14" t="inlineStr">
        <is>
          <t>No red box before the first extraction.</t>
        </is>
      </c>
      <c r="H74" s="17" t="inlineStr">
        <is>
          <t>Not run</t>
        </is>
      </c>
      <c r="I74" s="18" t="inlineStr"/>
      <c r="J74" s="18" t="inlineStr"/>
      <c r="K74" s="17" t="inlineStr"/>
    </row>
    <row r="75">
      <c r="A75" s="13" t="inlineStr">
        <is>
          <t>DSH-01</t>
        </is>
      </c>
      <c r="B75" s="14" t="inlineStr">
        <is>
          <t>Dashboard table</t>
        </is>
      </c>
      <c r="C75" s="15" t="inlineStr">
        <is>
          <t>P1</t>
        </is>
      </c>
      <c r="D75" s="16" t="inlineStr">
        <is>
          <t>Columns and numbering</t>
        </is>
      </c>
      <c r="E75" s="14" t="inlineStr">
        <is>
          <t>3 products in one company</t>
        </is>
      </c>
      <c r="F75" s="14" t="inlineStr">
        <is>
          <t>Create products one after another.</t>
        </is>
      </c>
      <c r="G75" s="14" t="inlineStr">
        <is>
          <t>Table has No., Brand, Product name. Numbers go 1, 2, 3 in creation order.</t>
        </is>
      </c>
      <c r="H75" s="17" t="inlineStr">
        <is>
          <t>Not run</t>
        </is>
      </c>
      <c r="I75" s="18" t="inlineStr"/>
      <c r="J75" s="18" t="inlineStr"/>
      <c r="K75" s="17" t="inlineStr"/>
    </row>
    <row r="76">
      <c r="A76" s="13" t="inlineStr">
        <is>
          <t>DSH-02</t>
        </is>
      </c>
      <c r="B76" s="14" t="inlineStr">
        <is>
          <t>Dashboard table</t>
        </is>
      </c>
      <c r="C76" s="15" t="inlineStr">
        <is>
          <t>P2</t>
        </is>
      </c>
      <c r="D76" s="16" t="inlineStr">
        <is>
          <t>Numbering is per company</t>
        </is>
      </c>
      <c r="E76" s="14" t="inlineStr">
        <is>
          <t>Two companies</t>
        </is>
      </c>
      <c r="F76" s="14" t="inlineStr">
        <is>
          <t>Create a product in each.</t>
        </is>
      </c>
      <c r="G76" s="14" t="inlineStr">
        <is>
          <t>Each company starts at 1.</t>
        </is>
      </c>
      <c r="H76" s="17" t="inlineStr">
        <is>
          <t>Not run</t>
        </is>
      </c>
      <c r="I76" s="18" t="inlineStr"/>
      <c r="J76" s="18" t="inlineStr"/>
      <c r="K76" s="17" t="inlineStr"/>
    </row>
    <row r="77">
      <c r="A77" s="13" t="inlineStr">
        <is>
          <t>DSH-03</t>
        </is>
      </c>
      <c r="B77" s="14" t="inlineStr">
        <is>
          <t>Dashboard table</t>
        </is>
      </c>
      <c r="C77" s="15" t="inlineStr">
        <is>
          <t>P2</t>
        </is>
      </c>
      <c r="D77" s="16" t="inlineStr">
        <is>
          <t>Number after deleting the newest product</t>
        </is>
      </c>
      <c r="E77" s="14" t="inlineStr">
        <is>
          <t>Product 3 exists</t>
        </is>
      </c>
      <c r="F77" s="14" t="inlineStr">
        <is>
          <t>Delete product 3 and create a new one.</t>
        </is>
      </c>
      <c r="G77" s="14" t="inlineStr">
        <is>
          <t>Record the number given (the system gives the highest number + 1, so 3 may repeat). Tell us if numbers must never be reused.</t>
        </is>
      </c>
      <c r="H77" s="17" t="inlineStr">
        <is>
          <t>Not run</t>
        </is>
      </c>
      <c r="I77" s="18" t="inlineStr"/>
      <c r="J77" s="18" t="inlineStr"/>
      <c r="K77" s="17" t="inlineStr"/>
    </row>
    <row r="78">
      <c r="A78" s="13" t="inlineStr">
        <is>
          <t>DSH-04</t>
        </is>
      </c>
      <c r="B78" s="14" t="inlineStr">
        <is>
          <t>Dashboard table</t>
        </is>
      </c>
      <c r="C78" s="15" t="inlineStr">
        <is>
          <t>P1</t>
        </is>
      </c>
      <c r="D78" s="16" t="inlineStr">
        <is>
          <t>Brand and name before and after extraction</t>
        </is>
      </c>
      <c r="E78" s="14" t="inlineStr">
        <is>
          <t>New product</t>
        </is>
      </c>
      <c r="F78" s="14" t="inlineStr">
        <is>
          <t>Look at the row before and after extraction.</t>
        </is>
      </c>
      <c r="G78" s="14" t="inlineStr">
        <is>
          <t>Before: name 'New product', brand dash. After: real name and brand from the documents.</t>
        </is>
      </c>
      <c r="H78" s="17" t="inlineStr">
        <is>
          <t>Not run</t>
        </is>
      </c>
      <c r="I78" s="18" t="inlineStr"/>
      <c r="J78" s="18" t="inlineStr"/>
      <c r="K78" s="17" t="inlineStr"/>
    </row>
    <row r="79">
      <c r="A79" s="13" t="inlineStr">
        <is>
          <t>DSH-05</t>
        </is>
      </c>
      <c r="B79" s="14" t="inlineStr">
        <is>
          <t>Dashboard table</t>
        </is>
      </c>
      <c r="C79" s="15" t="inlineStr">
        <is>
          <t>P1</t>
        </is>
      </c>
      <c r="D79" s="16" t="inlineStr">
        <is>
          <t>Open a product</t>
        </is>
      </c>
      <c r="E79" s="14" t="inlineStr">
        <is>
          <t>Any row</t>
        </is>
      </c>
      <c r="F79" s="14" t="inlineStr">
        <is>
          <t>Click the row; also focus it with the keyboard and press Enter.</t>
        </is>
      </c>
      <c r="G79" s="14" t="inlineStr">
        <is>
          <t>The product page opens.</t>
        </is>
      </c>
      <c r="H79" s="17" t="inlineStr">
        <is>
          <t>Not run</t>
        </is>
      </c>
      <c r="I79" s="18" t="inlineStr"/>
      <c r="J79" s="18" t="inlineStr"/>
      <c r="K79" s="17" t="inlineStr"/>
    </row>
    <row r="80">
      <c r="A80" s="13" t="inlineStr">
        <is>
          <t>DSH-06</t>
        </is>
      </c>
      <c r="B80" s="14" t="inlineStr">
        <is>
          <t>Dashboard table</t>
        </is>
      </c>
      <c r="C80" s="15" t="inlineStr">
        <is>
          <t>P1</t>
        </is>
      </c>
      <c r="D80" s="16" t="inlineStr">
        <is>
          <t>Delete with confirmation</t>
        </is>
      </c>
      <c r="E80" s="14" t="inlineStr">
        <is>
          <t>Any row</t>
        </is>
      </c>
      <c r="F80" s="14" t="inlineStr">
        <is>
          <t>Press Delete, cancel; press Delete again and confirm.</t>
        </is>
      </c>
      <c r="G80" s="14" t="inlineStr">
        <is>
          <t>Cancel keeps the row. Confirm removes it. Clicking Delete does not also open the product.</t>
        </is>
      </c>
      <c r="H80" s="17" t="inlineStr">
        <is>
          <t>Not run</t>
        </is>
      </c>
      <c r="I80" s="18" t="inlineStr"/>
      <c r="J80" s="18" t="inlineStr"/>
      <c r="K80" s="17" t="inlineStr"/>
    </row>
    <row r="81">
      <c r="A81" s="13" t="inlineStr">
        <is>
          <t>DSH-07</t>
        </is>
      </c>
      <c r="B81" s="14" t="inlineStr">
        <is>
          <t>Dashboard table</t>
        </is>
      </c>
      <c r="C81" s="15" t="inlineStr">
        <is>
          <t>P2</t>
        </is>
      </c>
      <c r="D81" s="16" t="inlineStr">
        <is>
          <t>Many products</t>
        </is>
      </c>
      <c r="E81" s="14" t="inlineStr">
        <is>
          <t>30 or more products</t>
        </is>
      </c>
      <c r="F81" s="14" t="inlineStr">
        <is>
          <t>Scroll and open some.</t>
        </is>
      </c>
      <c r="G81" s="14" t="inlineStr">
        <is>
          <t>Table stays readable and fast.</t>
        </is>
      </c>
      <c r="H81" s="17" t="inlineStr">
        <is>
          <t>Not run</t>
        </is>
      </c>
      <c r="I81" s="18" t="inlineStr"/>
      <c r="J81" s="18" t="inlineStr"/>
      <c r="K81" s="17" t="inlineStr"/>
    </row>
    <row r="82">
      <c r="A82" s="13" t="inlineStr">
        <is>
          <t>DSH-08</t>
        </is>
      </c>
      <c r="B82" s="14" t="inlineStr">
        <is>
          <t>Dashboard table</t>
        </is>
      </c>
      <c r="C82" s="15" t="inlineStr">
        <is>
          <t>P2</t>
        </is>
      </c>
      <c r="D82" s="16" t="inlineStr">
        <is>
          <t>Phone layout</t>
        </is>
      </c>
      <c r="E82" s="14" t="inlineStr">
        <is>
          <t>A phone or a 390 px wide window</t>
        </is>
      </c>
      <c r="F82" s="14" t="inlineStr">
        <is>
          <t>Open the dashboard.</t>
        </is>
      </c>
      <c r="G82" s="14" t="inlineStr">
        <is>
          <t>All three columns are readable without sideways scrolling; Delete is tappable.</t>
        </is>
      </c>
      <c r="H82" s="17" t="inlineStr">
        <is>
          <t>Not run</t>
        </is>
      </c>
      <c r="I82" s="18" t="inlineStr"/>
      <c r="J82" s="18" t="inlineStr"/>
      <c r="K82" s="17" t="inlineStr"/>
    </row>
    <row r="83">
      <c r="A83" s="13" t="inlineStr">
        <is>
          <t>DSH-09</t>
        </is>
      </c>
      <c r="B83" s="14" t="inlineStr">
        <is>
          <t>Dashboard table</t>
        </is>
      </c>
      <c r="C83" s="15" t="inlineStr">
        <is>
          <t>P2</t>
        </is>
      </c>
      <c r="D83" s="16" t="inlineStr">
        <is>
          <t>Status badges</t>
        </is>
      </c>
      <c r="E83" s="14" t="inlineStr">
        <is>
          <t>Products in each status</t>
        </is>
      </c>
      <c r="F83" s="14" t="inlineStr">
        <is>
          <t>Compare badges.</t>
        </is>
      </c>
      <c r="G83" s="14" t="inlineStr">
        <is>
          <t>Each status has its label and colour.</t>
        </is>
      </c>
      <c r="H83" s="17" t="inlineStr">
        <is>
          <t>Not run</t>
        </is>
      </c>
      <c r="I83" s="18" t="inlineStr"/>
      <c r="J83" s="18" t="inlineStr"/>
      <c r="K83" s="17" t="inlineStr"/>
    </row>
    <row r="84">
      <c r="A84" s="13" t="inlineStr">
        <is>
          <t>SND-01</t>
        </is>
      </c>
      <c r="B84" s="14" t="inlineStr">
        <is>
          <t>Send to extension</t>
        </is>
      </c>
      <c r="C84" s="15" t="inlineStr">
        <is>
          <t>P1</t>
        </is>
      </c>
      <c r="D84" s="16" t="inlineStr">
        <is>
          <t>Successful send</t>
        </is>
      </c>
      <c r="E84" s="14" t="inlineStr">
        <is>
          <t>Ready-to-fill product with 3 documents, extension installed</t>
        </is>
      </c>
      <c r="F84" s="14" t="inlineStr">
        <is>
          <t>Press Send to extension.</t>
        </is>
      </c>
      <c r="G84" s="14" t="inlineStr">
        <is>
          <t>Green 'Sent to the extension' message mentioning how many documents are ready.</t>
        </is>
      </c>
      <c r="H84" s="17" t="inlineStr">
        <is>
          <t>Not run</t>
        </is>
      </c>
      <c r="I84" s="18" t="inlineStr"/>
      <c r="J84" s="18" t="inlineStr"/>
      <c r="K84" s="17" t="inlineStr"/>
    </row>
    <row r="85">
      <c r="A85" s="13" t="inlineStr">
        <is>
          <t>SND-02</t>
        </is>
      </c>
      <c r="B85" s="14" t="inlineStr">
        <is>
          <t>Send to extension</t>
        </is>
      </c>
      <c r="C85" s="15" t="inlineStr">
        <is>
          <t>P1</t>
        </is>
      </c>
      <c r="D85" s="16" t="inlineStr">
        <is>
          <t>Extension not installed</t>
        </is>
      </c>
      <c r="E85" s="14" t="inlineStr">
        <is>
          <t>A browser without the extension</t>
        </is>
      </c>
      <c r="F85" s="14" t="inlineStr">
        <is>
          <t>Open a ready product.</t>
        </is>
      </c>
      <c r="G85" s="14" t="inlineStr">
        <is>
          <t>Message says the extension is not detected and how to install it.</t>
        </is>
      </c>
      <c r="H85" s="17" t="inlineStr">
        <is>
          <t>Not run</t>
        </is>
      </c>
      <c r="I85" s="18" t="inlineStr"/>
      <c r="J85" s="18" t="inlineStr"/>
      <c r="K85" s="17" t="inlineStr"/>
    </row>
    <row r="86">
      <c r="A86" s="13" t="inlineStr">
        <is>
          <t>SND-03</t>
        </is>
      </c>
      <c r="B86" s="14" t="inlineStr">
        <is>
          <t>Send to extension</t>
        </is>
      </c>
      <c r="C86" s="15" t="inlineStr">
        <is>
          <t>P1</t>
        </is>
      </c>
      <c r="D86" s="16" t="inlineStr">
        <is>
          <t>Extension reloaded while RegPilot tab was open</t>
        </is>
      </c>
      <c r="E86" s="14" t="inlineStr">
        <is>
          <t>Reload extension, do not refresh RegPilot</t>
        </is>
      </c>
      <c r="F86" s="14" t="inlineStr">
        <is>
          <t>Press Send to extension.</t>
        </is>
      </c>
      <c r="G86" s="14" t="inlineStr">
        <is>
          <t>Red message asking you to refresh the page, plus a Try again button. Never a silent return to the button.</t>
        </is>
      </c>
      <c r="H86" s="17" t="inlineStr">
        <is>
          <t>Not run</t>
        </is>
      </c>
      <c r="I86" s="18" t="inlineStr"/>
      <c r="J86" s="18" t="inlineStr"/>
      <c r="K86" s="17" t="inlineStr"/>
    </row>
    <row r="87">
      <c r="A87" s="13" t="inlineStr">
        <is>
          <t>SND-04</t>
        </is>
      </c>
      <c r="B87" s="14" t="inlineStr">
        <is>
          <t>Send to extension</t>
        </is>
      </c>
      <c r="C87" s="15" t="inlineStr">
        <is>
          <t>P1</t>
        </is>
      </c>
      <c r="D87" s="16" t="inlineStr">
        <is>
          <t>Send again after Clear</t>
        </is>
      </c>
      <c r="E87" s="14" t="inlineStr">
        <is>
          <t>Product already sent</t>
        </is>
      </c>
      <c r="F87" s="14" t="inlineStr">
        <is>
          <t>Press Clear in the Montaji panel, then press Send again in RegPilot.</t>
        </is>
      </c>
      <c r="G87" s="14" t="inlineStr">
        <is>
          <t>The panel reappears on Montaji.</t>
        </is>
      </c>
      <c r="H87" s="17" t="inlineStr">
        <is>
          <t>Not run</t>
        </is>
      </c>
      <c r="I87" s="18" t="inlineStr"/>
      <c r="J87" s="18" t="inlineStr"/>
      <c r="K87" s="17" t="inlineStr"/>
    </row>
    <row r="88">
      <c r="A88" s="13" t="inlineStr">
        <is>
          <t>SND-05</t>
        </is>
      </c>
      <c r="B88" s="14" t="inlineStr">
        <is>
          <t>Send to extension</t>
        </is>
      </c>
      <c r="C88" s="15" t="inlineStr">
        <is>
          <t>P1</t>
        </is>
      </c>
      <c r="D88" s="16" t="inlineStr">
        <is>
          <t>A second product replaces the first</t>
        </is>
      </c>
      <c r="E88" s="14" t="inlineStr">
        <is>
          <t>Two ready products</t>
        </is>
      </c>
      <c r="F88" s="14" t="inlineStr">
        <is>
          <t>Send product A, then product B.</t>
        </is>
      </c>
      <c r="G88" s="14" t="inlineStr">
        <is>
          <t>The Montaji panel title now shows product B and fills product B.</t>
        </is>
      </c>
      <c r="H88" s="17" t="inlineStr">
        <is>
          <t>Not run</t>
        </is>
      </c>
      <c r="I88" s="18" t="inlineStr"/>
      <c r="J88" s="18" t="inlineStr"/>
      <c r="K88" s="17" t="inlineStr"/>
    </row>
    <row r="89">
      <c r="A89" s="13" t="inlineStr">
        <is>
          <t>SND-06</t>
        </is>
      </c>
      <c r="B89" s="14" t="inlineStr">
        <is>
          <t>Send to extension</t>
        </is>
      </c>
      <c r="C89" s="15" t="inlineStr">
        <is>
          <t>P2</t>
        </is>
      </c>
      <c r="D89" s="16" t="inlineStr">
        <is>
          <t>Large total file size</t>
        </is>
      </c>
      <c r="E89" s="14" t="inlineStr">
        <is>
          <t>Documents totalling over 25 MB</t>
        </is>
      </c>
      <c r="F89" s="14" t="inlineStr">
        <is>
          <t>Send.</t>
        </is>
      </c>
      <c r="G89" s="14" t="inlineStr">
        <is>
          <t>A message names the files that were not sent. The rest is sent.</t>
        </is>
      </c>
      <c r="H89" s="17" t="inlineStr">
        <is>
          <t>Not run</t>
        </is>
      </c>
      <c r="I89" s="18" t="inlineStr"/>
      <c r="J89" s="18" t="inlineStr"/>
      <c r="K89" s="17" t="inlineStr"/>
    </row>
    <row r="90">
      <c r="A90" s="13" t="inlineStr">
        <is>
          <t>SND-07</t>
        </is>
      </c>
      <c r="B90" s="14" t="inlineStr">
        <is>
          <t>Send to extension</t>
        </is>
      </c>
      <c r="C90" s="15" t="inlineStr">
        <is>
          <t>P2</t>
        </is>
      </c>
      <c r="D90" s="16" t="inlineStr">
        <is>
          <t>Send with zero documents</t>
        </is>
      </c>
      <c r="E90" s="14" t="inlineStr">
        <is>
          <t>Product with no documents</t>
        </is>
      </c>
      <c r="F90" s="14" t="inlineStr">
        <is>
          <t>Send.</t>
        </is>
      </c>
      <c r="G90" s="14" t="inlineStr">
        <is>
          <t>Data is sent. The panel shows no Documents box.</t>
        </is>
      </c>
      <c r="H90" s="17" t="inlineStr">
        <is>
          <t>Not run</t>
        </is>
      </c>
      <c r="I90" s="18" t="inlineStr"/>
      <c r="J90" s="18" t="inlineStr"/>
      <c r="K90" s="17" t="inlineStr"/>
    </row>
    <row r="91">
      <c r="A91" s="13" t="inlineStr">
        <is>
          <t>SND-08</t>
        </is>
      </c>
      <c r="B91" s="14" t="inlineStr">
        <is>
          <t>Send to extension</t>
        </is>
      </c>
      <c r="C91" s="15" t="inlineStr">
        <is>
          <t>P2</t>
        </is>
      </c>
      <c r="D91" s="16" t="inlineStr">
        <is>
          <t>Montaji tab opened after sending</t>
        </is>
      </c>
      <c r="E91" s="14" t="inlineStr">
        <is>
          <t>Send first, open Montaji afterwards</t>
        </is>
      </c>
      <c r="F91" s="14" t="inlineStr">
        <is>
          <t>Open Montaji later.</t>
        </is>
      </c>
      <c r="G91" s="14" t="inlineStr">
        <is>
          <t>The panel appears when the Montaji page loads.</t>
        </is>
      </c>
      <c r="H91" s="17" t="inlineStr">
        <is>
          <t>Not run</t>
        </is>
      </c>
      <c r="I91" s="18" t="inlineStr"/>
      <c r="J91" s="18" t="inlineStr"/>
      <c r="K91" s="17" t="inlineStr"/>
    </row>
    <row r="92">
      <c r="A92" s="13" t="inlineStr">
        <is>
          <t>SND-09</t>
        </is>
      </c>
      <c r="B92" s="14" t="inlineStr">
        <is>
          <t>Send to extension</t>
        </is>
      </c>
      <c r="C92" s="15" t="inlineStr">
        <is>
          <t>P2</t>
        </is>
      </c>
      <c r="D92" s="16" t="inlineStr">
        <is>
          <t>Editing after sending</t>
        </is>
      </c>
      <c r="E92" s="14" t="inlineStr">
        <is>
          <t>Product already sent</t>
        </is>
      </c>
      <c r="F92" s="14" t="inlineStr">
        <is>
          <t>Edit and save a value, do not resend, fill on Montaji.</t>
        </is>
      </c>
      <c r="G92" s="14" t="inlineStr">
        <is>
          <t>Montaji uses the OLD data. Confirm that, and check the Send again note reminds you to resend.</t>
        </is>
      </c>
      <c r="H92" s="17" t="inlineStr">
        <is>
          <t>Not run</t>
        </is>
      </c>
      <c r="I92" s="18" t="inlineStr"/>
      <c r="J92" s="18" t="inlineStr"/>
      <c r="K92" s="17" t="inlineStr"/>
    </row>
    <row r="93">
      <c r="A93" s="13" t="inlineStr">
        <is>
          <t>SND-10</t>
        </is>
      </c>
      <c r="B93" s="14" t="inlineStr">
        <is>
          <t>Send to extension</t>
        </is>
      </c>
      <c r="C93" s="15" t="inlineStr">
        <is>
          <t>P3</t>
        </is>
      </c>
      <c r="D93" s="16" t="inlineStr">
        <is>
          <t>Double click on Send</t>
        </is>
      </c>
      <c r="E93" s="14" t="inlineStr">
        <is>
          <t>Ready product</t>
        </is>
      </c>
      <c r="F93" s="14" t="inlineStr">
        <is>
          <t>Click quickly twice.</t>
        </is>
      </c>
      <c r="G93" s="14" t="inlineStr">
        <is>
          <t>Only one send happens, no errors.</t>
        </is>
      </c>
      <c r="H93" s="17" t="inlineStr">
        <is>
          <t>Not run</t>
        </is>
      </c>
      <c r="I93" s="18" t="inlineStr"/>
      <c r="J93" s="18" t="inlineStr"/>
      <c r="K93" s="17" t="inlineStr"/>
    </row>
    <row r="94">
      <c r="A94" s="13" t="inlineStr">
        <is>
          <t>PNL-01</t>
        </is>
      </c>
      <c r="B94" s="14" t="inlineStr">
        <is>
          <t>Montaji panel (the floating box)</t>
        </is>
      </c>
      <c r="C94" s="15" t="inlineStr">
        <is>
          <t>P1</t>
        </is>
      </c>
      <c r="D94" s="16" t="inlineStr">
        <is>
          <t>Panel appears only after a send</t>
        </is>
      </c>
      <c r="E94" s="14" t="inlineStr">
        <is>
          <t>Fresh Chrome profile state</t>
        </is>
      </c>
      <c r="F94" s="14" t="inlineStr">
        <is>
          <t>Open Montaji before sending; then send.</t>
        </is>
      </c>
      <c r="G94" s="14" t="inlineStr">
        <is>
          <t>No panel before sending. Panel with the product name after sending.</t>
        </is>
      </c>
      <c r="H94" s="17" t="inlineStr">
        <is>
          <t>Not run</t>
        </is>
      </c>
      <c r="I94" s="18" t="inlineStr"/>
      <c r="J94" s="18" t="inlineStr"/>
      <c r="K94" s="17" t="inlineStr"/>
    </row>
    <row r="95">
      <c r="A95" s="13" t="inlineStr">
        <is>
          <t>PNL-02</t>
        </is>
      </c>
      <c r="B95" s="14" t="inlineStr">
        <is>
          <t>Montaji panel (the floating box)</t>
        </is>
      </c>
      <c r="C95" s="15" t="inlineStr">
        <is>
          <t>P1</t>
        </is>
      </c>
      <c r="D95" s="16" t="inlineStr">
        <is>
          <t>Step label follows the wizard</t>
        </is>
      </c>
      <c r="E95" s="14" t="inlineStr">
        <is>
          <t>Draft on Montaji</t>
        </is>
      </c>
      <c r="F95" s="14" t="inlineStr">
        <is>
          <t>Move through steps 1 to 5 yourself.</t>
        </is>
      </c>
      <c r="G95" s="14" t="inlineStr">
        <is>
          <t>The panel label changes within a couple of seconds on every step, and says so when you are not on a CPRE step.</t>
        </is>
      </c>
      <c r="H95" s="17" t="inlineStr">
        <is>
          <t>Not run</t>
        </is>
      </c>
      <c r="I95" s="18" t="inlineStr"/>
      <c r="J95" s="18" t="inlineStr"/>
      <c r="K95" s="17" t="inlineStr"/>
    </row>
    <row r="96">
      <c r="A96" s="13" t="inlineStr">
        <is>
          <t>PNL-03</t>
        </is>
      </c>
      <c r="B96" s="14" t="inlineStr">
        <is>
          <t>Montaji panel (the floating box)</t>
        </is>
      </c>
      <c r="C96" s="15" t="inlineStr">
        <is>
          <t>P1</t>
        </is>
      </c>
      <c r="D96" s="16" t="inlineStr">
        <is>
          <t>Minimize hides everything</t>
        </is>
      </c>
      <c r="E96" s="14" t="inlineStr">
        <is>
          <t>Panel open with Documents box and results</t>
        </is>
      </c>
      <c r="F96" s="14" t="inlineStr">
        <is>
          <t>Press the dash button.</t>
        </is>
      </c>
      <c r="G96" s="14" t="inlineStr">
        <is>
          <t>Only the small RegPilot pill remains. Fill, Upload and results are hidden. Pressing the pill or + reopens it.</t>
        </is>
      </c>
      <c r="H96" s="17" t="inlineStr">
        <is>
          <t>Not run</t>
        </is>
      </c>
      <c r="I96" s="18" t="inlineStr"/>
      <c r="J96" s="18" t="inlineStr"/>
      <c r="K96" s="17" t="inlineStr"/>
    </row>
    <row r="97">
      <c r="A97" s="13" t="inlineStr">
        <is>
          <t>PNL-04</t>
        </is>
      </c>
      <c r="B97" s="14" t="inlineStr">
        <is>
          <t>Montaji panel (the floating box)</t>
        </is>
      </c>
      <c r="C97" s="15" t="inlineStr">
        <is>
          <t>P1</t>
        </is>
      </c>
      <c r="D97" s="16" t="inlineStr">
        <is>
          <t>Drag and stay on screen</t>
        </is>
      </c>
      <c r="E97" s="14" t="inlineStr">
        <is>
          <t>Panel open</t>
        </is>
      </c>
      <c r="F97" s="14" t="inlineStr">
        <is>
          <t>Drag it to every corner; grow it by running a fill; resize the browser window; zoom to 150%.</t>
        </is>
      </c>
      <c r="G97" s="14" t="inlineStr">
        <is>
          <t>It never goes outside the screen, scrolls inside itself if taller than the window, and remembers the position after a refresh.</t>
        </is>
      </c>
      <c r="H97" s="17" t="inlineStr">
        <is>
          <t>Not run</t>
        </is>
      </c>
      <c r="I97" s="18" t="inlineStr"/>
      <c r="J97" s="18" t="inlineStr"/>
      <c r="K97" s="17" t="inlineStr"/>
    </row>
    <row r="98">
      <c r="A98" s="13" t="inlineStr">
        <is>
          <t>PNL-05</t>
        </is>
      </c>
      <c r="B98" s="14" t="inlineStr">
        <is>
          <t>Montaji panel (the floating box)</t>
        </is>
      </c>
      <c r="C98" s="15" t="inlineStr">
        <is>
          <t>P1</t>
        </is>
      </c>
      <c r="D98" s="16" t="inlineStr">
        <is>
          <t>Clear</t>
        </is>
      </c>
      <c r="E98" s="14" t="inlineStr">
        <is>
          <t>Panel open</t>
        </is>
      </c>
      <c r="F98" s="14" t="inlineStr">
        <is>
          <t>Press Clear.</t>
        </is>
      </c>
      <c r="G98" s="14" t="inlineStr">
        <is>
          <t>Panel disappears. Montaji data is untouched. RegPilot product is untouched.</t>
        </is>
      </c>
      <c r="H98" s="17" t="inlineStr">
        <is>
          <t>Not run</t>
        </is>
      </c>
      <c r="I98" s="18" t="inlineStr"/>
      <c r="J98" s="18" t="inlineStr"/>
      <c r="K98" s="17" t="inlineStr"/>
    </row>
    <row r="99">
      <c r="A99" s="13" t="inlineStr">
        <is>
          <t>PNL-06</t>
        </is>
      </c>
      <c r="B99" s="14" t="inlineStr">
        <is>
          <t>Montaji panel (the floating box)</t>
        </is>
      </c>
      <c r="C99" s="15" t="inlineStr">
        <is>
          <t>P1</t>
        </is>
      </c>
      <c r="D99" s="16" t="inlineStr">
        <is>
          <t>Extension reload message</t>
        </is>
      </c>
      <c r="E99" s="14" t="inlineStr">
        <is>
          <t>Panel open</t>
        </is>
      </c>
      <c r="F99" s="14" t="inlineStr">
        <is>
          <t>Reload the extension without refreshing Montaji.</t>
        </is>
      </c>
      <c r="G99" s="14" t="inlineStr">
        <is>
          <t>Within seconds the panel says the extension was reloaded and to refresh. After refreshing it works.</t>
        </is>
      </c>
      <c r="H99" s="17" t="inlineStr">
        <is>
          <t>Not run</t>
        </is>
      </c>
      <c r="I99" s="18" t="inlineStr"/>
      <c r="J99" s="18" t="inlineStr"/>
      <c r="K99" s="17" t="inlineStr"/>
    </row>
    <row r="100">
      <c r="A100" s="13" t="inlineStr">
        <is>
          <t>PNL-07</t>
        </is>
      </c>
      <c r="B100" s="14" t="inlineStr">
        <is>
          <t>Montaji panel (the floating box)</t>
        </is>
      </c>
      <c r="C100" s="15" t="inlineStr">
        <is>
          <t>P2</t>
        </is>
      </c>
      <c r="D100" s="16" t="inlineStr">
        <is>
          <t>Panel on a non-CPRE page</t>
        </is>
      </c>
      <c r="E100" s="14" t="inlineStr">
        <is>
          <t>Montaji home page</t>
        </is>
      </c>
      <c r="F100" s="14" t="inlineStr">
        <is>
          <t>Press Fill this step.</t>
        </is>
      </c>
      <c r="G100" s="14" t="inlineStr">
        <is>
          <t>Tells you to open the CPRE form first. Nothing is clicked.</t>
        </is>
      </c>
      <c r="H100" s="17" t="inlineStr">
        <is>
          <t>Not run</t>
        </is>
      </c>
      <c r="I100" s="18" t="inlineStr"/>
      <c r="J100" s="18" t="inlineStr"/>
      <c r="K100" s="17" t="inlineStr"/>
    </row>
    <row r="101">
      <c r="A101" s="13" t="inlineStr">
        <is>
          <t>PNL-08</t>
        </is>
      </c>
      <c r="B101" s="14" t="inlineStr">
        <is>
          <t>Montaji panel (the floating box)</t>
        </is>
      </c>
      <c r="C101" s="15" t="inlineStr">
        <is>
          <t>P2</t>
        </is>
      </c>
      <c r="D101" s="16" t="inlineStr">
        <is>
          <t>Two Montaji tabs</t>
        </is>
      </c>
      <c r="E101" s="14" t="inlineStr">
        <is>
          <t>Two tabs open</t>
        </is>
      </c>
      <c r="F101" s="14" t="inlineStr">
        <is>
          <t>Send once, fill in one tab.</t>
        </is>
      </c>
      <c r="G101" s="14" t="inlineStr">
        <is>
          <t>Only the tab you press Fill in is affected.</t>
        </is>
      </c>
      <c r="H101" s="17" t="inlineStr">
        <is>
          <t>Not run</t>
        </is>
      </c>
      <c r="I101" s="18" t="inlineStr"/>
      <c r="J101" s="18" t="inlineStr"/>
      <c r="K101" s="17" t="inlineStr"/>
    </row>
    <row r="102">
      <c r="A102" s="13" t="inlineStr">
        <is>
          <t>PNL-09</t>
        </is>
      </c>
      <c r="B102" s="14" t="inlineStr">
        <is>
          <t>Montaji panel (the floating box)</t>
        </is>
      </c>
      <c r="C102" s="15" t="inlineStr">
        <is>
          <t>P3</t>
        </is>
      </c>
      <c r="D102" s="16" t="inlineStr">
        <is>
          <t>Toolbar popup</t>
        </is>
      </c>
      <c r="E102" s="14" t="inlineStr">
        <is>
          <t>Extension installed</t>
        </is>
      </c>
      <c r="F102" s="14" t="inlineStr">
        <is>
          <t>Open the popup before and after sending, and press Clear in it.</t>
        </is>
      </c>
      <c r="G102" s="14" t="inlineStr">
        <is>
          <t>It shows the product name when queued, nothing queued otherwise; Clear empties it.</t>
        </is>
      </c>
      <c r="H102" s="17" t="inlineStr">
        <is>
          <t>Not run</t>
        </is>
      </c>
      <c r="I102" s="18" t="inlineStr"/>
      <c r="J102" s="18" t="inlineStr"/>
      <c r="K102" s="17" t="inlineStr"/>
    </row>
    <row r="103">
      <c r="A103" s="13" t="inlineStr">
        <is>
          <t>S2-01</t>
        </is>
      </c>
      <c r="B103" s="14" t="inlineStr">
        <is>
          <t>Montaji Step 1-2: company &amp; product base</t>
        </is>
      </c>
      <c r="C103" s="15" t="inlineStr">
        <is>
          <t>P1</t>
        </is>
      </c>
      <c r="D103" s="16" t="inlineStr">
        <is>
          <t>Step 1 does not choose the company</t>
        </is>
      </c>
      <c r="E103" s="14" t="inlineStr">
        <is>
          <t>Draft at step 1</t>
        </is>
      </c>
      <c r="F103" s="14" t="inlineStr">
        <is>
          <t>Press Fill this step.</t>
        </is>
      </c>
      <c r="G103" s="14" t="inlineStr">
        <is>
          <t>A note tells you to choose the company yourself. Nothing is selected.</t>
        </is>
      </c>
      <c r="H103" s="17" t="inlineStr">
        <is>
          <t>Not run</t>
        </is>
      </c>
      <c r="I103" s="18" t="inlineStr"/>
      <c r="J103" s="18" t="inlineStr"/>
      <c r="K103" s="17" t="inlineStr"/>
    </row>
    <row r="104">
      <c r="A104" s="13" t="inlineStr">
        <is>
          <t>S2-02</t>
        </is>
      </c>
      <c r="B104" s="14" t="inlineStr">
        <is>
          <t>Montaji Step 1-2: company &amp; product base</t>
        </is>
      </c>
      <c r="C104" s="15" t="inlineStr">
        <is>
          <t>P1</t>
        </is>
      </c>
      <c r="D104" s="16" t="inlineStr">
        <is>
          <t>Fresh product base is filled</t>
        </is>
      </c>
      <c r="E104" s="14" t="inlineStr">
        <is>
          <t>Ready product, new draft at Step 2</t>
        </is>
      </c>
      <c r="F104" s="14" t="inlineStr">
        <is>
          <t>Press Fill this step.</t>
        </is>
      </c>
      <c r="G104" s="14" t="inlineStr">
        <is>
          <t>Add New Product Base and Proceed are clicked. Country, name, group, category, sub-category, brand are filled and listed as Done.</t>
        </is>
      </c>
      <c r="H104" s="17" t="inlineStr">
        <is>
          <t>Not run</t>
        </is>
      </c>
      <c r="I104" s="18" t="inlineStr"/>
      <c r="J104" s="18" t="inlineStr"/>
      <c r="K104" s="17" t="inlineStr"/>
    </row>
    <row r="105">
      <c r="A105" s="13" t="inlineStr">
        <is>
          <t>S2-03</t>
        </is>
      </c>
      <c r="B105" s="14" t="inlineStr">
        <is>
          <t>Montaji Step 1-2: company &amp; product base</t>
        </is>
      </c>
      <c r="C105" s="15" t="inlineStr">
        <is>
          <t>P1</t>
        </is>
      </c>
      <c r="D105" s="16" t="inlineStr">
        <is>
          <t>Country matching</t>
        </is>
      </c>
      <c r="E105" s="14" t="inlineStr">
        <is>
          <t>Products from UAE, Italy, South Korea, USA, UK, France, Turkey, Indonesia</t>
        </is>
      </c>
      <c r="F105" s="14" t="inlineStr">
        <is>
          <t>Fill each.</t>
        </is>
      </c>
      <c r="G105" s="14" t="inlineStr">
        <is>
          <t>The right Montaji country is picked (including wording variants such as Republic of Korea, USA, UK). A country that cannot be matched is reported for you to pick.</t>
        </is>
      </c>
      <c r="H105" s="17" t="inlineStr">
        <is>
          <t>Not run</t>
        </is>
      </c>
      <c r="I105" s="18" t="inlineStr"/>
      <c r="J105" s="18" t="inlineStr"/>
      <c r="K105" s="17" t="inlineStr"/>
    </row>
    <row r="106">
      <c r="A106" s="13" t="inlineStr">
        <is>
          <t>S2-04</t>
        </is>
      </c>
      <c r="B106" s="14" t="inlineStr">
        <is>
          <t>Montaji Step 1-2: company &amp; product base</t>
        </is>
      </c>
      <c r="C106" s="15" t="inlineStr">
        <is>
          <t>P1</t>
        </is>
      </c>
      <c r="D106" s="16" t="inlineStr">
        <is>
          <t>Classification path</t>
        </is>
      </c>
      <c r="E106" s="14" t="inlineStr">
        <is>
          <t>Products from 5+ different categories</t>
        </is>
      </c>
      <c r="F106" s="14" t="inlineStr">
        <is>
          <t>Fill each.</t>
        </is>
      </c>
      <c r="G106" s="14" t="inlineStr">
        <is>
          <t>Montaji ends with the same Group/Category/Sub-category shown in RegPilot.</t>
        </is>
      </c>
      <c r="H106" s="17" t="inlineStr">
        <is>
          <t>Not run</t>
        </is>
      </c>
      <c r="I106" s="18" t="inlineStr"/>
      <c r="J106" s="18" t="inlineStr"/>
      <c r="K106" s="17" t="inlineStr"/>
    </row>
    <row r="107">
      <c r="A107" s="13" t="inlineStr">
        <is>
          <t>S2-05</t>
        </is>
      </c>
      <c r="B107" s="14" t="inlineStr">
        <is>
          <t>Montaji Step 1-2: company &amp; product base</t>
        </is>
      </c>
      <c r="C107" s="15" t="inlineStr">
        <is>
          <t>P1</t>
        </is>
      </c>
      <c r="D107" s="16" t="inlineStr">
        <is>
          <t>Low-confidence classification is not forced</t>
        </is>
      </c>
      <c r="E107" s="14" t="inlineStr">
        <is>
          <t>Product with low classification confidence</t>
        </is>
      </c>
      <c r="F107" s="14" t="inlineStr">
        <is>
          <t>Fill the step.</t>
        </is>
      </c>
      <c r="G107" s="14" t="inlineStr">
        <is>
          <t>Group/category/sub are skipped and the panel tells you to choose them. Nothing wrong is selected.</t>
        </is>
      </c>
      <c r="H107" s="17" t="inlineStr">
        <is>
          <t>Not run</t>
        </is>
      </c>
      <c r="I107" s="18" t="inlineStr"/>
      <c r="J107" s="18" t="inlineStr"/>
      <c r="K107" s="17" t="inlineStr"/>
    </row>
    <row r="108">
      <c r="A108" s="13" t="inlineStr">
        <is>
          <t>S2-06</t>
        </is>
      </c>
      <c r="B108" s="14" t="inlineStr">
        <is>
          <t>Montaji Step 1-2: company &amp; product base</t>
        </is>
      </c>
      <c r="C108" s="15" t="inlineStr">
        <is>
          <t>P2</t>
        </is>
      </c>
      <c r="D108" s="16" t="inlineStr">
        <is>
          <t>Brand field</t>
        </is>
      </c>
      <c r="E108" s="14" t="inlineStr">
        <is>
          <t>Brand present in Montaji's list and one that is not</t>
        </is>
      </c>
      <c r="F108" s="14" t="inlineStr">
        <is>
          <t>Fill.</t>
        </is>
      </c>
      <c r="G108" s="14" t="inlineStr">
        <is>
          <t>The brand text is typed as 'Other' brand and accepted by Montaji. Record if Montaji expects a list brand.</t>
        </is>
      </c>
      <c r="H108" s="17" t="inlineStr">
        <is>
          <t>Not run</t>
        </is>
      </c>
      <c r="I108" s="18" t="inlineStr"/>
      <c r="J108" s="18" t="inlineStr"/>
      <c r="K108" s="17" t="inlineStr"/>
    </row>
    <row r="109">
      <c r="A109" s="13" t="inlineStr">
        <is>
          <t>S2-07</t>
        </is>
      </c>
      <c r="B109" s="14" t="inlineStr">
        <is>
          <t>Montaji Step 1-2: company &amp; product base</t>
        </is>
      </c>
      <c r="C109" s="15" t="inlineStr">
        <is>
          <t>P2</t>
        </is>
      </c>
      <c r="D109" s="16" t="inlineStr">
        <is>
          <t>Long or special-character product name</t>
        </is>
      </c>
      <c r="E109" s="14" t="inlineStr">
        <is>
          <t>Name with &amp; ( ) / and 80+ characters</t>
        </is>
      </c>
      <c r="F109" s="14" t="inlineStr">
        <is>
          <t>Fill.</t>
        </is>
      </c>
      <c r="G109" s="14" t="inlineStr">
        <is>
          <t>Accepted exactly, or Montaji's limit is reported.</t>
        </is>
      </c>
      <c r="H109" s="17" t="inlineStr">
        <is>
          <t>Not run</t>
        </is>
      </c>
      <c r="I109" s="18" t="inlineStr"/>
      <c r="J109" s="18" t="inlineStr"/>
      <c r="K109" s="17" t="inlineStr"/>
    </row>
    <row r="110">
      <c r="A110" s="13" t="inlineStr">
        <is>
          <t>S2-08</t>
        </is>
      </c>
      <c r="B110" s="14" t="inlineStr">
        <is>
          <t>Montaji Step 1-2: company &amp; product base</t>
        </is>
      </c>
      <c r="C110" s="15" t="inlineStr">
        <is>
          <t>P2</t>
        </is>
      </c>
      <c r="D110" s="16" t="inlineStr">
        <is>
          <t>Slow dropdown lists</t>
        </is>
      </c>
      <c r="E110" s="14" t="inlineStr">
        <is>
          <t>Any product on a slow connection</t>
        </is>
      </c>
      <c r="F110" s="14" t="inlineStr">
        <is>
          <t>Fill.</t>
        </is>
      </c>
      <c r="G110" s="14" t="inlineStr">
        <is>
          <t>Waits for Montaji lists to load (up to about 40 seconds) and reports if they never did.</t>
        </is>
      </c>
      <c r="H110" s="17" t="inlineStr">
        <is>
          <t>Not run</t>
        </is>
      </c>
      <c r="I110" s="18" t="inlineStr"/>
      <c r="J110" s="18" t="inlineStr"/>
      <c r="K110" s="17" t="inlineStr"/>
    </row>
    <row r="111">
      <c r="A111" s="13" t="inlineStr">
        <is>
          <t>S2-09</t>
        </is>
      </c>
      <c r="B111" s="14" t="inlineStr">
        <is>
          <t>Montaji Step 1-2: company &amp; product base</t>
        </is>
      </c>
      <c r="C111" s="15" t="inlineStr">
        <is>
          <t>P2</t>
        </is>
      </c>
      <c r="D111" s="16" t="inlineStr">
        <is>
          <t>Pressing Fill twice on Step 2</t>
        </is>
      </c>
      <c r="E111" s="14" t="inlineStr">
        <is>
          <t>Product base already created</t>
        </is>
      </c>
      <c r="F111" s="14" t="inlineStr">
        <is>
          <t>Press Fill again.</t>
        </is>
      </c>
      <c r="G111" s="14" t="inlineStr">
        <is>
          <t>Record what happens. It must not create a second product base or overwrite silently.</t>
        </is>
      </c>
      <c r="H111" s="17" t="inlineStr">
        <is>
          <t>Not run</t>
        </is>
      </c>
      <c r="I111" s="18" t="inlineStr"/>
      <c r="J111" s="18" t="inlineStr"/>
      <c r="K111" s="17" t="inlineStr"/>
    </row>
    <row r="112">
      <c r="A112" s="13" t="inlineStr">
        <is>
          <t>S2-10</t>
        </is>
      </c>
      <c r="B112" s="14" t="inlineStr">
        <is>
          <t>Montaji Step 1-2: company &amp; product base</t>
        </is>
      </c>
      <c r="C112" s="15" t="inlineStr">
        <is>
          <t>P3</t>
        </is>
      </c>
      <c r="D112" s="16" t="inlineStr">
        <is>
          <t>Selecting an existing product base</t>
        </is>
      </c>
      <c r="E112" s="14" t="inlineStr">
        <is>
          <t>Draft with an earlier base</t>
        </is>
      </c>
      <c r="F112" s="14" t="inlineStr">
        <is>
          <t>Try to use it.</t>
        </is>
      </c>
      <c r="G112" s="14" t="inlineStr">
        <is>
          <t>Known gap: reuse of an existing base is not supported. Record how it behaves.</t>
        </is>
      </c>
      <c r="H112" s="17" t="inlineStr">
        <is>
          <t>Not run</t>
        </is>
      </c>
      <c r="I112" s="18" t="inlineStr"/>
      <c r="J112" s="18" t="inlineStr"/>
      <c r="K112" s="17" t="inlineStr"/>
    </row>
    <row r="113">
      <c r="A113" s="13" t="inlineStr">
        <is>
          <t>S3-01</t>
        </is>
      </c>
      <c r="B113" s="14" t="inlineStr">
        <is>
          <t>Montaji Step 3: attachments</t>
        </is>
      </c>
      <c r="C113" s="15" t="inlineStr">
        <is>
          <t>P1</t>
        </is>
      </c>
      <c r="D113" s="16" t="inlineStr">
        <is>
          <t>Free Sale certificate upload (foreign product)</t>
        </is>
      </c>
      <c r="E113" s="14" t="inlineStr">
        <is>
          <t>Ready product, non-UAE, certificate uploaded in RegPilot</t>
        </is>
      </c>
      <c r="F113" s="14" t="inlineStr">
        <is>
          <t>On Step 3 open Documents box, press Upload 1 file, then Yes, upload.</t>
        </is>
      </c>
      <c r="G113" s="14" t="inlineStr">
        <is>
          <t>The file lands in the Free Sales Certificate list on Montaji.</t>
        </is>
      </c>
      <c r="H113" s="17" t="inlineStr">
        <is>
          <t>Not run</t>
        </is>
      </c>
      <c r="I113" s="18" t="inlineStr"/>
      <c r="J113" s="18" t="inlineStr"/>
      <c r="K113" s="17" t="inlineStr"/>
    </row>
    <row r="114">
      <c r="A114" s="13" t="inlineStr">
        <is>
          <t>S3-02</t>
        </is>
      </c>
      <c r="B114" s="14" t="inlineStr">
        <is>
          <t>Montaji Step 3: attachments</t>
        </is>
      </c>
      <c r="C114" s="15" t="inlineStr">
        <is>
          <t>P1</t>
        </is>
      </c>
      <c r="D114" s="16" t="inlineStr">
        <is>
          <t>GMP certificate upload (UAE product)</t>
        </is>
      </c>
      <c r="E114" s="14" t="inlineStr">
        <is>
          <t>Ready product, UAE</t>
        </is>
      </c>
      <c r="F114" s="14" t="inlineStr">
        <is>
          <t>Same as above.</t>
        </is>
      </c>
      <c r="G114" s="14" t="inlineStr">
        <is>
          <t>Record whether Montaji shows a GMP upload section. If not, the panel says it cannot find it and uploads nothing.</t>
        </is>
      </c>
      <c r="H114" s="17" t="inlineStr">
        <is>
          <t>Not run</t>
        </is>
      </c>
      <c r="I114" s="18" t="inlineStr"/>
      <c r="J114" s="18" t="inlineStr"/>
      <c r="K114" s="17" t="inlineStr"/>
    </row>
    <row r="115">
      <c r="A115" s="13" t="inlineStr">
        <is>
          <t>S3-03</t>
        </is>
      </c>
      <c r="B115" s="14" t="inlineStr">
        <is>
          <t>Montaji Step 3: attachments</t>
        </is>
      </c>
      <c r="C115" s="15" t="inlineStr">
        <is>
          <t>P1</t>
        </is>
      </c>
      <c r="D115" s="16" t="inlineStr">
        <is>
          <t>Confirmation gate</t>
        </is>
      </c>
      <c r="E115" s="14" t="inlineStr">
        <is>
          <t>Any</t>
        </is>
      </c>
      <c r="F115" s="14" t="inlineStr">
        <is>
          <t>Press Upload N files then Cancel.</t>
        </is>
      </c>
      <c r="G115" s="14" t="inlineStr">
        <is>
          <t>Nothing is uploaded. No Montaji window opens.</t>
        </is>
      </c>
      <c r="H115" s="17" t="inlineStr">
        <is>
          <t>Not run</t>
        </is>
      </c>
      <c r="I115" s="18" t="inlineStr"/>
      <c r="J115" s="18" t="inlineStr"/>
      <c r="K115" s="17" t="inlineStr"/>
    </row>
    <row r="116">
      <c r="A116" s="13" t="inlineStr">
        <is>
          <t>S3-04</t>
        </is>
      </c>
      <c r="B116" s="14" t="inlineStr">
        <is>
          <t>Montaji Step 3: attachments</t>
        </is>
      </c>
      <c r="C116" s="15" t="inlineStr">
        <is>
          <t>P2</t>
        </is>
      </c>
      <c r="D116" s="16" t="inlineStr">
        <is>
          <t>Same file twice</t>
        </is>
      </c>
      <c r="E116" s="14" t="inlineStr">
        <is>
          <t>Certificate already uploaded</t>
        </is>
      </c>
      <c r="F116" s="14" t="inlineStr">
        <is>
          <t>Upload again.</t>
        </is>
      </c>
      <c r="G116" s="14" t="inlineStr">
        <is>
          <t>Reported as already listed; not uploaded a second time.</t>
        </is>
      </c>
      <c r="H116" s="17" t="inlineStr">
        <is>
          <t>Not run</t>
        </is>
      </c>
      <c r="I116" s="18" t="inlineStr"/>
      <c r="J116" s="18" t="inlineStr"/>
      <c r="K116" s="17" t="inlineStr"/>
    </row>
    <row r="117">
      <c r="A117" s="13" t="inlineStr">
        <is>
          <t>S3-05</t>
        </is>
      </c>
      <c r="B117" s="14" t="inlineStr">
        <is>
          <t>Montaji Step 3: attachments</t>
        </is>
      </c>
      <c r="C117" s="15" t="inlineStr">
        <is>
          <t>P2</t>
        </is>
      </c>
      <c r="D117" s="16" t="inlineStr">
        <is>
          <t>Montaji refuses the file</t>
        </is>
      </c>
      <c r="E117" s="14" t="inlineStr">
        <is>
          <t>A very large or unusual PDF</t>
        </is>
      </c>
      <c r="F117" s="14" t="inlineStr">
        <is>
          <t>Upload.</t>
        </is>
      </c>
      <c r="G117" s="14" t="inlineStr">
        <is>
          <t>Montaji's message appears in the panel as a problem. The upload window is closed. No crash.</t>
        </is>
      </c>
      <c r="H117" s="17" t="inlineStr">
        <is>
          <t>Not run</t>
        </is>
      </c>
      <c r="I117" s="18" t="inlineStr"/>
      <c r="J117" s="18" t="inlineStr"/>
      <c r="K117" s="17" t="inlineStr"/>
    </row>
    <row r="118">
      <c r="A118" s="13" t="inlineStr">
        <is>
          <t>S3-06</t>
        </is>
      </c>
      <c r="B118" s="14" t="inlineStr">
        <is>
          <t>Montaji Step 3: attachments</t>
        </is>
      </c>
      <c r="C118" s="15" t="inlineStr">
        <is>
          <t>P2</t>
        </is>
      </c>
      <c r="D118" s="16" t="inlineStr">
        <is>
          <t>File names with spaces or Arabic</t>
        </is>
      </c>
      <c r="E118" s="14" t="inlineStr">
        <is>
          <t>Certificate named accordingly</t>
        </is>
      </c>
      <c r="F118" s="14" t="inlineStr">
        <is>
          <t>Upload.</t>
        </is>
      </c>
      <c r="G118" s="14" t="inlineStr">
        <is>
          <t>Uploaded and listed under its name.</t>
        </is>
      </c>
      <c r="H118" s="17" t="inlineStr">
        <is>
          <t>Not run</t>
        </is>
      </c>
      <c r="I118" s="18" t="inlineStr"/>
      <c r="J118" s="18" t="inlineStr"/>
      <c r="K118" s="17" t="inlineStr"/>
    </row>
    <row r="119">
      <c r="A119" s="13" t="inlineStr">
        <is>
          <t>S3-07</t>
        </is>
      </c>
      <c r="B119" s="14" t="inlineStr">
        <is>
          <t>Montaji Step 3: attachments</t>
        </is>
      </c>
      <c r="C119" s="15" t="inlineStr">
        <is>
          <t>P2</t>
        </is>
      </c>
      <c r="D119" s="16" t="inlineStr">
        <is>
          <t>More than one certificate in the product</t>
        </is>
      </c>
      <c r="E119" s="14" t="inlineStr">
        <is>
          <t>Two files in the certificate section</t>
        </is>
      </c>
      <c r="F119" s="14" t="inlineStr">
        <is>
          <t>Upload both.</t>
        </is>
      </c>
      <c r="G119" s="14" t="inlineStr">
        <is>
          <t>Record whether Montaji accepts several. Both are attempted one after the other.</t>
        </is>
      </c>
      <c r="H119" s="17" t="inlineStr">
        <is>
          <t>Not run</t>
        </is>
      </c>
      <c r="I119" s="18" t="inlineStr"/>
      <c r="J119" s="18" t="inlineStr"/>
      <c r="K119" s="17" t="inlineStr"/>
    </row>
    <row r="120">
      <c r="A120" s="13" t="inlineStr">
        <is>
          <t>S3-08</t>
        </is>
      </c>
      <c r="B120" s="14" t="inlineStr">
        <is>
          <t>Montaji Step 3: attachments</t>
        </is>
      </c>
      <c r="C120" s="15" t="inlineStr">
        <is>
          <t>P2</t>
        </is>
      </c>
      <c r="D120" s="16" t="inlineStr">
        <is>
          <t>No certificate sent</t>
        </is>
      </c>
      <c r="E120" s="14" t="inlineStr">
        <is>
          <t>Product without certificate</t>
        </is>
      </c>
      <c r="F120" s="14" t="inlineStr">
        <is>
          <t>Open Step 3.</t>
        </is>
      </c>
      <c r="G120" s="14" t="inlineStr">
        <is>
          <t>Panel tells you to upload it yourself. No Documents box.</t>
        </is>
      </c>
      <c r="H120" s="17" t="inlineStr">
        <is>
          <t>Not run</t>
        </is>
      </c>
      <c r="I120" s="18" t="inlineStr"/>
      <c r="J120" s="18" t="inlineStr"/>
      <c r="K120" s="17" t="inlineStr"/>
    </row>
    <row r="121">
      <c r="A121" s="13" t="inlineStr">
        <is>
          <t>S3-09</t>
        </is>
      </c>
      <c r="B121" s="14" t="inlineStr">
        <is>
          <t>Montaji Step 3: attachments</t>
        </is>
      </c>
      <c r="C121" s="15" t="inlineStr">
        <is>
          <t>P1</t>
        </is>
      </c>
      <c r="D121" s="16" t="inlineStr">
        <is>
          <t>Continue after upload</t>
        </is>
      </c>
      <c r="E121" s="14" t="inlineStr">
        <is>
          <t>Uploaded certificate</t>
        </is>
      </c>
      <c r="F121" s="14" t="inlineStr">
        <is>
          <t>Click Next yourself.</t>
        </is>
      </c>
      <c r="G121" s="14" t="inlineStr">
        <is>
          <t>Montaji accepts the step and moves on.</t>
        </is>
      </c>
      <c r="H121" s="17" t="inlineStr">
        <is>
          <t>Not run</t>
        </is>
      </c>
      <c r="I121" s="18" t="inlineStr"/>
      <c r="J121" s="18" t="inlineStr"/>
      <c r="K121" s="17" t="inlineStr"/>
    </row>
    <row r="122">
      <c r="A122" s="13" t="inlineStr">
        <is>
          <t>S4-01</t>
        </is>
      </c>
      <c r="B122" s="14" t="inlineStr">
        <is>
          <t>Montaji Step 4: variants</t>
        </is>
      </c>
      <c r="C122" s="15" t="inlineStr">
        <is>
          <t>P1</t>
        </is>
      </c>
      <c r="D122" s="16" t="inlineStr">
        <is>
          <t>Single variant: full fill</t>
        </is>
      </c>
      <c r="E122" s="14" t="inlineStr">
        <is>
          <t>Product with 1 variant, flags, shelf life, 10+ ingredients</t>
        </is>
      </c>
      <c r="F122" s="14" t="inlineStr">
        <is>
          <t>On Step 4 press Fill this step.</t>
        </is>
      </c>
      <c r="G122" s="14" t="inlineStr">
        <is>
          <t>Barcode, shade, scent, size, unit, four flags, shelf life and period, ingredients are all set; Save and Validate passes.</t>
        </is>
      </c>
      <c r="H122" s="17" t="inlineStr">
        <is>
          <t>Not run</t>
        </is>
      </c>
      <c r="I122" s="18" t="inlineStr"/>
      <c r="J122" s="18" t="inlineStr"/>
      <c r="K122" s="17" t="inlineStr"/>
    </row>
    <row r="123">
      <c r="A123" s="13" t="inlineStr">
        <is>
          <t>S4-02</t>
        </is>
      </c>
      <c r="B123" s="14" t="inlineStr">
        <is>
          <t>Montaji Step 4: variants</t>
        </is>
      </c>
      <c r="C123" s="15" t="inlineStr">
        <is>
          <t>P1</t>
        </is>
      </c>
      <c r="D123" s="16" t="inlineStr">
        <is>
          <t>Two variants (126 / 128)</t>
        </is>
      </c>
      <c r="E123" s="14" t="inlineStr">
        <is>
          <t>Multi-shade product</t>
        </is>
      </c>
      <c r="F123" s="14" t="inlineStr">
        <is>
          <t>Fill.</t>
        </is>
      </c>
      <c r="G123" s="14" t="inlineStr">
        <is>
          <t>Two variants exist, each with its own barcode and shade. Variant 1 is not overwritten by variant 2.</t>
        </is>
      </c>
      <c r="H123" s="17" t="inlineStr">
        <is>
          <t>Not run</t>
        </is>
      </c>
      <c r="I123" s="18" t="inlineStr"/>
      <c r="J123" s="18" t="inlineStr"/>
      <c r="K123" s="17" t="inlineStr"/>
    </row>
    <row r="124">
      <c r="A124" s="13" t="inlineStr">
        <is>
          <t>S4-03</t>
        </is>
      </c>
      <c r="B124" s="14" t="inlineStr">
        <is>
          <t>Montaji Step 4: variants</t>
        </is>
      </c>
      <c r="C124" s="15" t="inlineStr">
        <is>
          <t>P2</t>
        </is>
      </c>
      <c r="D124" s="16" t="inlineStr">
        <is>
          <t>Five variants</t>
        </is>
      </c>
      <c r="E124" s="14" t="inlineStr">
        <is>
          <t>Product with 5 shades/scents</t>
        </is>
      </c>
      <c r="F124" s="14" t="inlineStr">
        <is>
          <t>Fill.</t>
        </is>
      </c>
      <c r="G124" s="14" t="inlineStr">
        <is>
          <t>Five filled rows in Montaji's grid, no duplicates, no blank leftover rows.</t>
        </is>
      </c>
      <c r="H124" s="17" t="inlineStr">
        <is>
          <t>Not run</t>
        </is>
      </c>
      <c r="I124" s="18" t="inlineStr"/>
      <c r="J124" s="18" t="inlineStr"/>
      <c r="K124" s="17" t="inlineStr"/>
    </row>
    <row r="125">
      <c r="A125" s="13" t="inlineStr">
        <is>
          <t>S4-04</t>
        </is>
      </c>
      <c r="B125" s="14" t="inlineStr">
        <is>
          <t>Montaji Step 4: variants</t>
        </is>
      </c>
      <c r="C125" s="15" t="inlineStr">
        <is>
          <t>P1</t>
        </is>
      </c>
      <c r="D125" s="16" t="inlineStr">
        <is>
          <t>Arriving with a blank row and no form</t>
        </is>
      </c>
      <c r="E125" s="14" t="inlineStr">
        <is>
          <t>Fresh Step 4 (Montaji pre-creates row 0001)</t>
        </is>
      </c>
      <c r="F125" s="14" t="inlineStr">
        <is>
          <t>Fill.</t>
        </is>
      </c>
      <c r="G125" s="14" t="inlineStr">
        <is>
          <t>The blank row is used. No extra empty variants are added.</t>
        </is>
      </c>
      <c r="H125" s="17" t="inlineStr">
        <is>
          <t>Not run</t>
        </is>
      </c>
      <c r="I125" s="18" t="inlineStr"/>
      <c r="J125" s="18" t="inlineStr"/>
      <c r="K125" s="17" t="inlineStr"/>
    </row>
    <row r="126">
      <c r="A126" s="13" t="inlineStr">
        <is>
          <t>S4-05</t>
        </is>
      </c>
      <c r="B126" s="14" t="inlineStr">
        <is>
          <t>Montaji Step 4: variants</t>
        </is>
      </c>
      <c r="C126" s="15" t="inlineStr">
        <is>
          <t>P1</t>
        </is>
      </c>
      <c r="D126" s="16" t="inlineStr">
        <is>
          <t>Existing filled variant is protected</t>
        </is>
      </c>
      <c r="E126" s="14" t="inlineStr">
        <is>
          <t>Draft where variant 1 already has data</t>
        </is>
      </c>
      <c r="F126" s="14" t="inlineStr">
        <is>
          <t>Fill with a different product.</t>
        </is>
      </c>
      <c r="G126" s="14" t="inlineStr">
        <is>
          <t>Existing data is never overwritten; a new variant is used or it stops with a message.</t>
        </is>
      </c>
      <c r="H126" s="17" t="inlineStr">
        <is>
          <t>Not run</t>
        </is>
      </c>
      <c r="I126" s="18" t="inlineStr"/>
      <c r="J126" s="18" t="inlineStr"/>
      <c r="K126" s="17" t="inlineStr"/>
    </row>
    <row r="127">
      <c r="A127" s="13" t="inlineStr">
        <is>
          <t>S4-06</t>
        </is>
      </c>
      <c r="B127" s="14" t="inlineStr">
        <is>
          <t>Montaji Step 4: variants</t>
        </is>
      </c>
      <c r="C127" s="15" t="inlineStr">
        <is>
          <t>P1</t>
        </is>
      </c>
      <c r="D127" s="16" t="inlineStr">
        <is>
          <t>Barcode already used</t>
        </is>
      </c>
      <c r="E127" s="14" t="inlineStr">
        <is>
          <t>A barcode that exists in another submitted or draft product</t>
        </is>
      </c>
      <c r="F127" s="14" t="inlineStr">
        <is>
          <t>Fill.</t>
        </is>
      </c>
      <c r="G127" s="14" t="inlineStr">
        <is>
          <t>Montaji's error is shown in the panel and the status line says a problem was reported. Validation is reported as not passed.</t>
        </is>
      </c>
      <c r="H127" s="17" t="inlineStr">
        <is>
          <t>Not run</t>
        </is>
      </c>
      <c r="I127" s="18" t="inlineStr"/>
      <c r="J127" s="18" t="inlineStr"/>
      <c r="K127" s="17" t="inlineStr"/>
    </row>
    <row r="128">
      <c r="A128" s="13" t="inlineStr">
        <is>
          <t>S4-07</t>
        </is>
      </c>
      <c r="B128" s="14" t="inlineStr">
        <is>
          <t>Montaji Step 4: variants</t>
        </is>
      </c>
      <c r="C128" s="15" t="inlineStr">
        <is>
          <t>P2</t>
        </is>
      </c>
      <c r="D128" s="16" t="inlineStr">
        <is>
          <t>Invalid barcode formats</t>
        </is>
      </c>
      <c r="E128" s="14" t="inlineStr">
        <is>
          <t>Barcode with letters, spaces, or wrong length (edit in RegPilot)</t>
        </is>
      </c>
      <c r="F128" s="14" t="inlineStr">
        <is>
          <t>Fill.</t>
        </is>
      </c>
      <c r="G128" s="14" t="inlineStr">
        <is>
          <t>Montaji's validation message is shown in the panel.</t>
        </is>
      </c>
      <c r="H128" s="17" t="inlineStr">
        <is>
          <t>Not run</t>
        </is>
      </c>
      <c r="I128" s="18" t="inlineStr"/>
      <c r="J128" s="18" t="inlineStr"/>
      <c r="K128" s="17" t="inlineStr"/>
    </row>
    <row r="129">
      <c r="A129" s="13" t="inlineStr">
        <is>
          <t>S4-08</t>
        </is>
      </c>
      <c r="B129" s="14" t="inlineStr">
        <is>
          <t>Montaji Step 4: variants</t>
        </is>
      </c>
      <c r="C129" s="15" t="inlineStr">
        <is>
          <t>P2</t>
        </is>
      </c>
      <c r="D129" s="16" t="inlineStr">
        <is>
          <t>Size with decimals</t>
        </is>
      </c>
      <c r="E129" s="14" t="inlineStr">
        <is>
          <t>Size 4.5 ml, 0.5 L, 250 g</t>
        </is>
      </c>
      <c r="F129" s="14" t="inlineStr">
        <is>
          <t>Fill.</t>
        </is>
      </c>
      <c r="G129" s="14" t="inlineStr">
        <is>
          <t>Montaji shows the right number (it may show 4.50) and unit.</t>
        </is>
      </c>
      <c r="H129" s="17" t="inlineStr">
        <is>
          <t>Not run</t>
        </is>
      </c>
      <c r="I129" s="18" t="inlineStr"/>
      <c r="J129" s="18" t="inlineStr"/>
      <c r="K129" s="17" t="inlineStr"/>
    </row>
    <row r="130">
      <c r="A130" s="13" t="inlineStr">
        <is>
          <t>S4-09</t>
        </is>
      </c>
      <c r="B130" s="14" t="inlineStr">
        <is>
          <t>Montaji Step 4: variants</t>
        </is>
      </c>
      <c r="C130" s="15" t="inlineStr">
        <is>
          <t>P1</t>
        </is>
      </c>
      <c r="D130" s="16" t="inlineStr">
        <is>
          <t>Four Yes/No flags</t>
        </is>
      </c>
      <c r="E130" s="14" t="inlineStr">
        <is>
          <t>Variants with different flag combinations</t>
        </is>
      </c>
      <c r="F130" s="14" t="inlineStr">
        <is>
          <t>Fill.</t>
        </is>
      </c>
      <c r="G130" s="14" t="inlineStr">
        <is>
          <t>Each of the four radio buttons matches RegPilot.</t>
        </is>
      </c>
      <c r="H130" s="17" t="inlineStr">
        <is>
          <t>Not run</t>
        </is>
      </c>
      <c r="I130" s="18" t="inlineStr"/>
      <c r="J130" s="18" t="inlineStr"/>
      <c r="K130" s="17" t="inlineStr"/>
    </row>
    <row r="131">
      <c r="A131" s="13" t="inlineStr">
        <is>
          <t>S4-10</t>
        </is>
      </c>
      <c r="B131" s="14" t="inlineStr">
        <is>
          <t>Montaji Step 4: variants</t>
        </is>
      </c>
      <c r="C131" s="15" t="inlineStr">
        <is>
          <t>P2</t>
        </is>
      </c>
      <c r="D131" s="16" t="inlineStr">
        <is>
          <t>Shelf life and period type</t>
        </is>
      </c>
      <c r="E131" s="14" t="inlineStr">
        <is>
          <t>36 Months, 2 Years, 180 Days</t>
        </is>
      </c>
      <c r="F131" s="14" t="inlineStr">
        <is>
          <t>Fill.</t>
        </is>
      </c>
      <c r="G131" s="14" t="inlineStr">
        <is>
          <t>Number and period type are right.</t>
        </is>
      </c>
      <c r="H131" s="17" t="inlineStr">
        <is>
          <t>Not run</t>
        </is>
      </c>
      <c r="I131" s="18" t="inlineStr"/>
      <c r="J131" s="18" t="inlineStr"/>
      <c r="K131" s="17" t="inlineStr"/>
    </row>
    <row r="132">
      <c r="A132" s="13" t="inlineStr">
        <is>
          <t>S4-11</t>
        </is>
      </c>
      <c r="B132" s="14" t="inlineStr">
        <is>
          <t>Montaji Step 4: variants</t>
        </is>
      </c>
      <c r="C132" s="15" t="inlineStr">
        <is>
          <t>P2</t>
        </is>
      </c>
      <c r="D132" s="16" t="inlineStr">
        <is>
          <t>Pressing Fill a second time on the same variant</t>
        </is>
      </c>
      <c r="E132" s="14" t="inlineStr">
        <is>
          <t>Variant already filled and saved</t>
        </is>
      </c>
      <c r="F132" s="14" t="inlineStr">
        <is>
          <t>Press Fill again.</t>
        </is>
      </c>
      <c r="G132" s="14" t="inlineStr">
        <is>
          <t>Record behaviour. Expected: it must not silently create a duplicate variant with the same barcode (Montaji will complain about the barcode).</t>
        </is>
      </c>
      <c r="H132" s="17" t="inlineStr">
        <is>
          <t>Not run</t>
        </is>
      </c>
      <c r="I132" s="18" t="inlineStr"/>
      <c r="J132" s="18" t="inlineStr"/>
      <c r="K132" s="17" t="inlineStr"/>
    </row>
    <row r="133">
      <c r="A133" s="13" t="inlineStr">
        <is>
          <t>S4-12</t>
        </is>
      </c>
      <c r="B133" s="14" t="inlineStr">
        <is>
          <t>Montaji Step 4: variants</t>
        </is>
      </c>
      <c r="C133" s="15" t="inlineStr">
        <is>
          <t>P1</t>
        </is>
      </c>
      <c r="D133" s="16" t="inlineStr">
        <is>
          <t>Artwork and Ingredients Report upload</t>
        </is>
      </c>
      <c r="E133" s="14" t="inlineStr">
        <is>
          <t>Variant open in the form</t>
        </is>
      </c>
      <c r="F133" s="14" t="inlineStr">
        <is>
          <t>Open Documents box &gt; Upload 2 files &gt; Yes, upload.</t>
        </is>
      </c>
      <c r="G133" s="14" t="inlineStr">
        <is>
          <t>Label file lands in Artwork, formula file in Ingredients Report of the OPEN variant.</t>
        </is>
      </c>
      <c r="H133" s="17" t="inlineStr">
        <is>
          <t>Not run</t>
        </is>
      </c>
      <c r="I133" s="18" t="inlineStr"/>
      <c r="J133" s="18" t="inlineStr"/>
      <c r="K133" s="17" t="inlineStr"/>
    </row>
    <row r="134">
      <c r="A134" s="13" t="inlineStr">
        <is>
          <t>S4-13</t>
        </is>
      </c>
      <c r="B134" s="14" t="inlineStr">
        <is>
          <t>Montaji Step 4: variants</t>
        </is>
      </c>
      <c r="C134" s="15" t="inlineStr">
        <is>
          <t>P2</t>
        </is>
      </c>
      <c r="D134" s="16" t="inlineStr">
        <is>
          <t>Upload goes to the open variant</t>
        </is>
      </c>
      <c r="E134" s="14" t="inlineStr">
        <is>
          <t>Two variants</t>
        </is>
      </c>
      <c r="F134" s="14" t="inlineStr">
        <is>
          <t>Open variant 2, upload.</t>
        </is>
      </c>
      <c r="G134" s="14" t="inlineStr">
        <is>
          <t>Files attach to variant 2 only.</t>
        </is>
      </c>
      <c r="H134" s="17" t="inlineStr">
        <is>
          <t>Not run</t>
        </is>
      </c>
      <c r="I134" s="18" t="inlineStr"/>
      <c r="J134" s="18" t="inlineStr"/>
      <c r="K134" s="17" t="inlineStr"/>
    </row>
    <row r="135">
      <c r="A135" s="13" t="inlineStr">
        <is>
          <t>S4-14</t>
        </is>
      </c>
      <c r="B135" s="14" t="inlineStr">
        <is>
          <t>Montaji Step 4: variants</t>
        </is>
      </c>
      <c r="C135" s="15" t="inlineStr">
        <is>
          <t>P2</t>
        </is>
      </c>
      <c r="D135" s="16" t="inlineStr">
        <is>
          <t>Product Image and Laboratory Test Report</t>
        </is>
      </c>
      <c r="E135" s="14" t="inlineStr">
        <is>
          <t>None</t>
        </is>
      </c>
      <c r="F135" s="14" t="inlineStr">
        <is>
          <t>Look at those sections.</t>
        </is>
      </c>
      <c r="G135" s="14" t="inlineStr">
        <is>
          <t>They are left alone. (Known: not supported.)</t>
        </is>
      </c>
      <c r="H135" s="17" t="inlineStr">
        <is>
          <t>Not run</t>
        </is>
      </c>
      <c r="I135" s="18" t="inlineStr"/>
      <c r="J135" s="18" t="inlineStr"/>
      <c r="K135" s="17" t="inlineStr"/>
    </row>
    <row r="136">
      <c r="A136" s="13" t="inlineStr">
        <is>
          <t>ING-01</t>
        </is>
      </c>
      <c r="B136" s="14" t="inlineStr">
        <is>
          <t>Ingredients (Excel import and entry)</t>
        </is>
      </c>
      <c r="C136" s="15" t="inlineStr">
        <is>
          <t>P1</t>
        </is>
      </c>
      <c r="D136" s="16" t="inlineStr">
        <is>
          <t>Import of a normal list</t>
        </is>
      </c>
      <c r="E136" s="14" t="inlineStr">
        <is>
          <t>Formula with 13 ingredients</t>
        </is>
      </c>
      <c r="F136" s="14" t="inlineStr">
        <is>
          <t>Fill Step 4 and compare the Montaji ingredient grid with the formula.</t>
        </is>
      </c>
      <c r="G136" s="14" t="inlineStr">
        <is>
          <t>Same count (use the 'of N' pager total), names and percentages.</t>
        </is>
      </c>
      <c r="H136" s="17" t="inlineStr">
        <is>
          <t>Not run</t>
        </is>
      </c>
      <c r="I136" s="18" t="inlineStr"/>
      <c r="J136" s="18" t="inlineStr"/>
      <c r="K136" s="17" t="inlineStr"/>
    </row>
    <row r="137">
      <c r="A137" s="13" t="inlineStr">
        <is>
          <t>ING-02</t>
        </is>
      </c>
      <c r="B137" s="14" t="inlineStr">
        <is>
          <t>Ingredients (Excel import and entry)</t>
        </is>
      </c>
      <c r="C137" s="15" t="inlineStr">
        <is>
          <t>P1</t>
        </is>
      </c>
      <c r="D137" s="16" t="inlineStr">
        <is>
          <t>Small and long decimal percentages</t>
        </is>
      </c>
      <c r="E137" s="14" t="inlineStr">
        <is>
          <t>Values 60.45, 0.001, 0.0001, 0.000108</t>
        </is>
      </c>
      <c r="F137" s="14" t="inlineStr">
        <is>
          <t>Fill and read the grid (and open one row's edit window).</t>
        </is>
      </c>
      <c r="G137" s="14" t="inlineStr">
        <is>
          <t>Stored values are exact, not rounded to 0.</t>
        </is>
      </c>
      <c r="H137" s="17" t="inlineStr">
        <is>
          <t>Not run</t>
        </is>
      </c>
      <c r="I137" s="18" t="inlineStr"/>
      <c r="J137" s="18" t="inlineStr"/>
      <c r="K137" s="17" t="inlineStr"/>
    </row>
    <row r="138">
      <c r="A138" s="13" t="inlineStr">
        <is>
          <t>ING-03</t>
        </is>
      </c>
      <c r="B138" s="14" t="inlineStr">
        <is>
          <t>Ingredients (Excel import and entry)</t>
        </is>
      </c>
      <c r="C138" s="15" t="inlineStr">
        <is>
          <t>P1</t>
        </is>
      </c>
      <c r="D138" s="16" t="inlineStr">
        <is>
          <t>'&lt;' percentages keep the sign</t>
        </is>
      </c>
      <c r="E138" s="14" t="inlineStr">
        <is>
          <t>Formula with '&lt;0.001' rows (Real3)</t>
        </is>
      </c>
      <c r="F138" s="14" t="inlineStr">
        <is>
          <t>Fill.</t>
        </is>
      </c>
      <c r="G138" s="14" t="inlineStr">
        <is>
          <t>Those rows show &lt;0.001. If Montaji refuses the sign, the panel says which number was entered instead.</t>
        </is>
      </c>
      <c r="H138" s="17" t="inlineStr">
        <is>
          <t>Not run</t>
        </is>
      </c>
      <c r="I138" s="18" t="inlineStr"/>
      <c r="J138" s="18" t="inlineStr"/>
      <c r="K138" s="17" t="inlineStr"/>
    </row>
    <row r="139">
      <c r="A139" s="13" t="inlineStr">
        <is>
          <t>ING-04</t>
        </is>
      </c>
      <c r="B139" s="14" t="inlineStr">
        <is>
          <t>Ingredients (Excel import and entry)</t>
        </is>
      </c>
      <c r="C139" s="15" t="inlineStr">
        <is>
          <t>P1</t>
        </is>
      </c>
      <c r="D139" s="16" t="inlineStr">
        <is>
          <t>Ingredient without percentage</t>
        </is>
      </c>
      <c r="E139" s="14" t="inlineStr">
        <is>
          <t>Label-only ingredient list</t>
        </is>
      </c>
      <c r="F139" s="14" t="inlineStr">
        <is>
          <t>Fill.</t>
        </is>
      </c>
      <c r="G139" s="14" t="inlineStr">
        <is>
          <t>Those ingredients are listed in the panel as 'add yourself'. Ingredients that have a percentage are still imported.</t>
        </is>
      </c>
      <c r="H139" s="17" t="inlineStr">
        <is>
          <t>Not run</t>
        </is>
      </c>
      <c r="I139" s="18" t="inlineStr"/>
      <c r="J139" s="18" t="inlineStr"/>
      <c r="K139" s="17" t="inlineStr"/>
    </row>
    <row r="140">
      <c r="A140" s="13" t="inlineStr">
        <is>
          <t>ING-05</t>
        </is>
      </c>
      <c r="B140" s="14" t="inlineStr">
        <is>
          <t>Ingredients (Excel import and entry)</t>
        </is>
      </c>
      <c r="C140" s="15" t="inlineStr">
        <is>
          <t>P1</t>
        </is>
      </c>
      <c r="D140" s="16" t="inlineStr">
        <is>
          <t>Does Montaji replace 'Other' names?</t>
        </is>
      </c>
      <c r="E140" s="14" t="inlineStr">
        <is>
          <t>Common INCI names (Aqua, Glycerin)</t>
        </is>
      </c>
      <c r="F140" s="14" t="inlineStr">
        <is>
          <t>After Save and Validate (and later, in the review step) look at the grid.</t>
        </is>
      </c>
      <c r="G140" s="14" t="inlineStr">
        <is>
          <t>Record whether names become Montaji's own master-list names. (Unverified so far.)</t>
        </is>
      </c>
      <c r="H140" s="17" t="inlineStr">
        <is>
          <t>Not run</t>
        </is>
      </c>
      <c r="I140" s="18" t="inlineStr"/>
      <c r="J140" s="18" t="inlineStr"/>
      <c r="K140" s="17" t="inlineStr"/>
    </row>
    <row r="141">
      <c r="A141" s="13" t="inlineStr">
        <is>
          <t>ING-06</t>
        </is>
      </c>
      <c r="B141" s="14" t="inlineStr">
        <is>
          <t>Ingredients (Excel import and entry)</t>
        </is>
      </c>
      <c r="C141" s="15" t="inlineStr">
        <is>
          <t>P2</t>
        </is>
      </c>
      <c r="D141" s="16" t="inlineStr">
        <is>
          <t>More than 113 ingredients</t>
        </is>
      </c>
      <c r="E141" s="14" t="inlineStr">
        <is>
          <t>A formula with 120+ lines</t>
        </is>
      </c>
      <c r="F141" s="14" t="inlineStr">
        <is>
          <t>Fill.</t>
        </is>
      </c>
      <c r="G141" s="14" t="inlineStr">
        <is>
          <t>113 are imported; the panel lists the rest to add by hand.</t>
        </is>
      </c>
      <c r="H141" s="17" t="inlineStr">
        <is>
          <t>Not run</t>
        </is>
      </c>
      <c r="I141" s="18" t="inlineStr"/>
      <c r="J141" s="18" t="inlineStr"/>
      <c r="K141" s="17" t="inlineStr"/>
    </row>
    <row r="142">
      <c r="A142" s="13" t="inlineStr">
        <is>
          <t>ING-07</t>
        </is>
      </c>
      <c r="B142" s="14" t="inlineStr">
        <is>
          <t>Ingredients (Excel import and entry)</t>
        </is>
      </c>
      <c r="C142" s="15" t="inlineStr">
        <is>
          <t>P2</t>
        </is>
      </c>
      <c r="D142" s="16" t="inlineStr">
        <is>
          <t>Special characters in names</t>
        </is>
      </c>
      <c r="E142" s="14" t="inlineStr">
        <is>
          <t>Names with / ( ) &amp; accents and apostrophes</t>
        </is>
      </c>
      <c r="F142" s="14" t="inlineStr">
        <is>
          <t>Fill.</t>
        </is>
      </c>
      <c r="G142" s="14" t="inlineStr">
        <is>
          <t>Names arrive exactly.</t>
        </is>
      </c>
      <c r="H142" s="17" t="inlineStr">
        <is>
          <t>Not run</t>
        </is>
      </c>
      <c r="I142" s="18" t="inlineStr"/>
      <c r="J142" s="18" t="inlineStr"/>
      <c r="K142" s="17" t="inlineStr"/>
    </row>
    <row r="143">
      <c r="A143" s="13" t="inlineStr">
        <is>
          <t>ING-08</t>
        </is>
      </c>
      <c r="B143" s="14" t="inlineStr">
        <is>
          <t>Ingredients (Excel import and entry)</t>
        </is>
      </c>
      <c r="C143" s="15" t="inlineStr">
        <is>
          <t>P2</t>
        </is>
      </c>
      <c r="D143" s="16" t="inlineStr">
        <is>
          <t>Duplicate ingredient lines</t>
        </is>
      </c>
      <c r="E143" s="14" t="inlineStr">
        <is>
          <t>Same ingredient listed twice</t>
        </is>
      </c>
      <c r="F143" s="14" t="inlineStr">
        <is>
          <t>Fill.</t>
        </is>
      </c>
      <c r="G143" s="14" t="inlineStr">
        <is>
          <t>Both rows arrive or Montaji's message is shown. Nothing is lost silently.</t>
        </is>
      </c>
      <c r="H143" s="17" t="inlineStr">
        <is>
          <t>Not run</t>
        </is>
      </c>
      <c r="I143" s="18" t="inlineStr"/>
      <c r="J143" s="18" t="inlineStr"/>
      <c r="K143" s="17" t="inlineStr"/>
    </row>
    <row r="144">
      <c r="A144" s="13" t="inlineStr">
        <is>
          <t>ING-09</t>
        </is>
      </c>
      <c r="B144" s="14" t="inlineStr">
        <is>
          <t>Ingredients (Excel import and entry)</t>
        </is>
      </c>
      <c r="C144" s="15" t="inlineStr">
        <is>
          <t>P2</t>
        </is>
      </c>
      <c r="D144" s="16" t="inlineStr">
        <is>
          <t>Percentages add up</t>
        </is>
      </c>
      <c r="E144" s="14" t="inlineStr">
        <is>
          <t>Formula that totals 100%</t>
        </is>
      </c>
      <c r="F144" s="14" t="inlineStr">
        <is>
          <t>Fill and compare the total in Montaji if shown.</t>
        </is>
      </c>
      <c r="G144" s="14" t="inlineStr">
        <is>
          <t>Totals match. Record any Montaji total check.</t>
        </is>
      </c>
      <c r="H144" s="17" t="inlineStr">
        <is>
          <t>Not run</t>
        </is>
      </c>
      <c r="I144" s="18" t="inlineStr"/>
      <c r="J144" s="18" t="inlineStr"/>
      <c r="K144" s="17" t="inlineStr"/>
    </row>
    <row r="145">
      <c r="A145" s="13" t="inlineStr">
        <is>
          <t>ING-10</t>
        </is>
      </c>
      <c r="B145" s="14" t="inlineStr">
        <is>
          <t>Ingredients (Excel import and entry)</t>
        </is>
      </c>
      <c r="C145" s="15" t="inlineStr">
        <is>
          <t>P2</t>
        </is>
      </c>
      <c r="D145" s="16" t="inlineStr">
        <is>
          <t>Import refused</t>
        </is>
      </c>
      <c r="E145" s="14" t="inlineStr">
        <is>
          <t>Hard to force; simulate by testing when the portal is slow</t>
        </is>
      </c>
      <c r="F145" s="14" t="inlineStr">
        <is>
          <t>Fill.</t>
        </is>
      </c>
      <c r="G145" s="14" t="inlineStr">
        <is>
          <t>The panel says the import failed and falls back to adding one by one, or reports clearly. No half-open popups remain.</t>
        </is>
      </c>
      <c r="H145" s="17" t="inlineStr">
        <is>
          <t>Not run</t>
        </is>
      </c>
      <c r="I145" s="18" t="inlineStr"/>
      <c r="J145" s="18" t="inlineStr"/>
      <c r="K145" s="17" t="inlineStr"/>
    </row>
    <row r="146">
      <c r="A146" s="13" t="inlineStr">
        <is>
          <t>ING-11</t>
        </is>
      </c>
      <c r="B146" s="14" t="inlineStr">
        <is>
          <t>Ingredients (Excel import and entry)</t>
        </is>
      </c>
      <c r="C146" s="15" t="inlineStr">
        <is>
          <t>P2</t>
        </is>
      </c>
      <c r="D146" s="16" t="inlineStr">
        <is>
          <t>Running Fill twice on a variant</t>
        </is>
      </c>
      <c r="E146" s="14" t="inlineStr">
        <is>
          <t>Variant with ingredients</t>
        </is>
      </c>
      <c r="F146" s="14" t="inlineStr">
        <is>
          <t>Press Fill again on it.</t>
        </is>
      </c>
      <c r="G146" s="14" t="inlineStr">
        <is>
          <t>Record whether ingredients are doubled. Expected: not silently doubled.</t>
        </is>
      </c>
      <c r="H146" s="17" t="inlineStr">
        <is>
          <t>Not run</t>
        </is>
      </c>
      <c r="I146" s="18" t="inlineStr"/>
      <c r="J146" s="18" t="inlineStr"/>
      <c r="K146" s="17" t="inlineStr"/>
    </row>
    <row r="147">
      <c r="A147" s="13" t="inlineStr">
        <is>
          <t>MSG-01</t>
        </is>
      </c>
      <c r="B147" s="14" t="inlineStr">
        <is>
          <t>Montaji pop-ups and messages</t>
        </is>
      </c>
      <c r="C147" s="15" t="inlineStr">
        <is>
          <t>P1</t>
        </is>
      </c>
      <c r="D147" s="16" t="inlineStr">
        <is>
          <t>Info message (e.g. import finished)</t>
        </is>
      </c>
      <c r="E147" s="14" t="inlineStr">
        <is>
          <t>Any product with ingredients</t>
        </is>
      </c>
      <c r="F147" s="14" t="inlineStr">
        <is>
          <t>Fill Step 4.</t>
        </is>
      </c>
      <c r="G147" s="14" t="inlineStr">
        <is>
          <t>The message is read, closed automatically and listed as a Note.</t>
        </is>
      </c>
      <c r="H147" s="17" t="inlineStr">
        <is>
          <t>Not run</t>
        </is>
      </c>
      <c r="I147" s="18" t="inlineStr"/>
      <c r="J147" s="18" t="inlineStr"/>
      <c r="K147" s="17" t="inlineStr"/>
    </row>
    <row r="148">
      <c r="A148" s="13" t="inlineStr">
        <is>
          <t>MSG-02</t>
        </is>
      </c>
      <c r="B148" s="14" t="inlineStr">
        <is>
          <t>Montaji pop-ups and messages</t>
        </is>
      </c>
      <c r="C148" s="15" t="inlineStr">
        <is>
          <t>P1</t>
        </is>
      </c>
      <c r="D148" s="16" t="inlineStr">
        <is>
          <t>Error message (e.g. barcode already used)</t>
        </is>
      </c>
      <c r="E148" s="14" t="inlineStr">
        <is>
          <t>Duplicate barcode</t>
        </is>
      </c>
      <c r="F148" s="14" t="inlineStr">
        <is>
          <t>Fill.</t>
        </is>
      </c>
      <c r="G148" s="14" t="inlineStr">
        <is>
          <t>Closed automatically, listed as a problem with Montaji's exact words, and the status line says a problem was reported.</t>
        </is>
      </c>
      <c r="H148" s="17" t="inlineStr">
        <is>
          <t>Not run</t>
        </is>
      </c>
      <c r="I148" s="18" t="inlineStr"/>
      <c r="J148" s="18" t="inlineStr"/>
      <c r="K148" s="17" t="inlineStr"/>
    </row>
    <row r="149">
      <c r="A149" s="13" t="inlineStr">
        <is>
          <t>MSG-03</t>
        </is>
      </c>
      <c r="B149" s="14" t="inlineStr">
        <is>
          <t>Montaji pop-ups and messages</t>
        </is>
      </c>
      <c r="C149" s="15" t="inlineStr">
        <is>
          <t>P1</t>
        </is>
      </c>
      <c r="D149" s="16" t="inlineStr">
        <is>
          <t>A Yes/No question is never answered for you</t>
        </is>
      </c>
      <c r="E149" s="14" t="inlineStr">
        <is>
          <t>Trigger a Delete confirmation yourself while the panel is idle</t>
        </is>
      </c>
      <c r="F149" s="14" t="inlineStr">
        <is>
          <t>Click Delete on a variant; observe.</t>
        </is>
      </c>
      <c r="G149" s="14" t="inlineStr">
        <is>
          <t>The dialog stays until you answer it.</t>
        </is>
      </c>
      <c r="H149" s="17" t="inlineStr">
        <is>
          <t>Not run</t>
        </is>
      </c>
      <c r="I149" s="18" t="inlineStr"/>
      <c r="J149" s="18" t="inlineStr"/>
      <c r="K149" s="17" t="inlineStr"/>
    </row>
    <row r="150">
      <c r="A150" s="13" t="inlineStr">
        <is>
          <t>MSG-04</t>
        </is>
      </c>
      <c r="B150" s="14" t="inlineStr">
        <is>
          <t>Montaji pop-ups and messages</t>
        </is>
      </c>
      <c r="C150" s="15" t="inlineStr">
        <is>
          <t>P2</t>
        </is>
      </c>
      <c r="D150" s="16" t="inlineStr">
        <is>
          <t>Message while uploading</t>
        </is>
      </c>
      <c r="E150" s="14" t="inlineStr">
        <is>
          <t>Upload an unacceptable file</t>
        </is>
      </c>
      <c r="F150" s="14" t="inlineStr">
        <is>
          <t>Upload.</t>
        </is>
      </c>
      <c r="G150" s="14" t="inlineStr">
        <is>
          <t>Montaji's message appears in the panel.</t>
        </is>
      </c>
      <c r="H150" s="17" t="inlineStr">
        <is>
          <t>Not run</t>
        </is>
      </c>
      <c r="I150" s="18" t="inlineStr"/>
      <c r="J150" s="18" t="inlineStr"/>
      <c r="K150" s="17" t="inlineStr"/>
    </row>
    <row r="151">
      <c r="A151" s="13" t="inlineStr">
        <is>
          <t>MSG-05</t>
        </is>
      </c>
      <c r="B151" s="14" t="inlineStr">
        <is>
          <t>Montaji pop-ups and messages</t>
        </is>
      </c>
      <c r="C151" s="15" t="inlineStr">
        <is>
          <t>P2</t>
        </is>
      </c>
      <c r="D151" s="16" t="inlineStr">
        <is>
          <t>Field validation text</t>
        </is>
      </c>
      <c r="E151" s="14" t="inlineStr">
        <is>
          <t>Variant missing a required field</t>
        </is>
      </c>
      <c r="F151" s="14" t="inlineStr">
        <is>
          <t>Fill and Save and Validate.</t>
        </is>
      </c>
      <c r="G151" s="14" t="inlineStr">
        <is>
          <t>Required-field messages from the page are listed.</t>
        </is>
      </c>
      <c r="H151" s="17" t="inlineStr">
        <is>
          <t>Not run</t>
        </is>
      </c>
      <c r="I151" s="18" t="inlineStr"/>
      <c r="J151" s="18" t="inlineStr"/>
      <c r="K151" s="17" t="inlineStr"/>
    </row>
    <row r="152">
      <c r="A152" s="13" t="inlineStr">
        <is>
          <t>MSG-06</t>
        </is>
      </c>
      <c r="B152" s="14" t="inlineStr">
        <is>
          <t>Montaji pop-ups and messages</t>
        </is>
      </c>
      <c r="C152" s="15" t="inlineStr">
        <is>
          <t>P2</t>
        </is>
      </c>
      <c r="D152" s="16" t="inlineStr">
        <is>
          <t>Montaji logs you out mid-fill</t>
        </is>
      </c>
      <c r="E152" s="14" t="inlineStr">
        <is>
          <t>Wait for session timeout or log out in another tab</t>
        </is>
      </c>
      <c r="F152" s="14" t="inlineStr">
        <is>
          <t>Press Fill.</t>
        </is>
      </c>
      <c r="G152" s="14" t="inlineStr">
        <is>
          <t>The run stops with a clear message instead of clicking blindly.</t>
        </is>
      </c>
      <c r="H152" s="17" t="inlineStr">
        <is>
          <t>Not run</t>
        </is>
      </c>
      <c r="I152" s="18" t="inlineStr"/>
      <c r="J152" s="18" t="inlineStr"/>
      <c r="K152" s="17" t="inlineStr"/>
    </row>
    <row r="153">
      <c r="A153" s="13" t="inlineStr">
        <is>
          <t>MSG-07</t>
        </is>
      </c>
      <c r="B153" s="14" t="inlineStr">
        <is>
          <t>Montaji pop-ups and messages</t>
        </is>
      </c>
      <c r="C153" s="15" t="inlineStr">
        <is>
          <t>P2</t>
        </is>
      </c>
      <c r="D153" s="16" t="inlineStr">
        <is>
          <t>Portal outage</t>
        </is>
      </c>
      <c r="E153" s="14" t="inlineStr">
        <is>
          <t>Montaji returning errors (as seen before)</t>
        </is>
      </c>
      <c r="F153" s="14" t="inlineStr">
        <is>
          <t>Press Fill.</t>
        </is>
      </c>
      <c r="G153" s="14" t="inlineStr">
        <is>
          <t>Stops or reports each failed step. Nothing half-done is hidden.</t>
        </is>
      </c>
      <c r="H153" s="17" t="inlineStr">
        <is>
          <t>Not run</t>
        </is>
      </c>
      <c r="I153" s="18" t="inlineStr"/>
      <c r="J153" s="18" t="inlineStr"/>
      <c r="K153" s="17" t="inlineStr"/>
    </row>
    <row r="154">
      <c r="A154" s="13" t="inlineStr">
        <is>
          <t>SAF-01</t>
        </is>
      </c>
      <c r="B154" s="14" t="inlineStr">
        <is>
          <t>Safety rules</t>
        </is>
      </c>
      <c r="C154" s="15" t="inlineStr">
        <is>
          <t>P1</t>
        </is>
      </c>
      <c r="D154" s="16" t="inlineStr">
        <is>
          <t>Never presses Next, Save Draft, Cancel, Submit, Delete</t>
        </is>
      </c>
      <c r="E154" s="14" t="inlineStr">
        <is>
          <t>A full run through all steps (watch the screen)</t>
        </is>
      </c>
      <c r="F154" s="14" t="inlineStr">
        <is>
          <t>Run the whole product from Step 1 to Step 5.</t>
        </is>
      </c>
      <c r="G154" s="14" t="inlineStr">
        <is>
          <t>You press every Next yourself. The extension clicks only inside its own flows (Add, Proceed, Import, Upload, Save and Validate).</t>
        </is>
      </c>
      <c r="H154" s="17" t="inlineStr">
        <is>
          <t>Not run</t>
        </is>
      </c>
      <c r="I154" s="18" t="inlineStr"/>
      <c r="J154" s="18" t="inlineStr"/>
      <c r="K154" s="17" t="inlineStr"/>
    </row>
    <row r="155">
      <c r="A155" s="13" t="inlineStr">
        <is>
          <t>SAF-02</t>
        </is>
      </c>
      <c r="B155" s="14" t="inlineStr">
        <is>
          <t>Safety rules</t>
        </is>
      </c>
      <c r="C155" s="15" t="inlineStr">
        <is>
          <t>P1</t>
        </is>
      </c>
      <c r="D155" s="16" t="inlineStr">
        <is>
          <t>Declaration is never ticked and Submit never pressed</t>
        </is>
      </c>
      <c r="E155" s="14" t="inlineStr">
        <is>
          <t>Draft at the last step</t>
        </is>
      </c>
      <c r="F155" s="14" t="inlineStr">
        <is>
          <t>Press Fill this step.</t>
        </is>
      </c>
      <c r="G155" s="14" t="inlineStr">
        <is>
          <t>Only a reminder note appears.</t>
        </is>
      </c>
      <c r="H155" s="17" t="inlineStr">
        <is>
          <t>Not run</t>
        </is>
      </c>
      <c r="I155" s="18" t="inlineStr"/>
      <c r="J155" s="18" t="inlineStr"/>
      <c r="K155" s="17" t="inlineStr"/>
    </row>
    <row r="156">
      <c r="A156" s="13" t="inlineStr">
        <is>
          <t>SAF-03</t>
        </is>
      </c>
      <c r="B156" s="14" t="inlineStr">
        <is>
          <t>Safety rules</t>
        </is>
      </c>
      <c r="C156" s="15" t="inlineStr">
        <is>
          <t>P1</t>
        </is>
      </c>
      <c r="D156" s="16" t="inlineStr">
        <is>
          <t>No Montaji password handling</t>
        </is>
      </c>
      <c r="E156" s="14" t="inlineStr">
        <is>
          <t>None</t>
        </is>
      </c>
      <c r="F156" s="14" t="inlineStr">
        <is>
          <t>Check the extension storage (chrome://extensions &gt; Inspect) and the network panel.</t>
        </is>
      </c>
      <c r="G156" s="14" t="inlineStr">
        <is>
          <t>No Montaji credentials are stored or sent. The extension makes no network calls of its own.</t>
        </is>
      </c>
      <c r="H156" s="17" t="inlineStr">
        <is>
          <t>Not run</t>
        </is>
      </c>
      <c r="I156" s="18" t="inlineStr"/>
      <c r="J156" s="18" t="inlineStr"/>
      <c r="K156" s="17" t="inlineStr"/>
    </row>
    <row r="157">
      <c r="A157" s="13" t="inlineStr">
        <is>
          <t>SAF-04</t>
        </is>
      </c>
      <c r="B157" s="14" t="inlineStr">
        <is>
          <t>Safety rules</t>
        </is>
      </c>
      <c r="C157" s="15" t="inlineStr">
        <is>
          <t>P2</t>
        </is>
      </c>
      <c r="D157" s="16" t="inlineStr">
        <is>
          <t>Closing Montaji mid-fill</t>
        </is>
      </c>
      <c r="E157" s="14" t="inlineStr">
        <is>
          <t>Fill running</t>
        </is>
      </c>
      <c r="F157" s="14" t="inlineStr">
        <is>
          <t>Close the tab, reopen the draft.</t>
        </is>
      </c>
      <c r="G157" s="14" t="inlineStr">
        <is>
          <t>Draft is consistent; extra blank rows at most. Re-sending and filling works.</t>
        </is>
      </c>
      <c r="H157" s="17" t="inlineStr">
        <is>
          <t>Not run</t>
        </is>
      </c>
      <c r="I157" s="18" t="inlineStr"/>
      <c r="J157" s="18" t="inlineStr"/>
      <c r="K157" s="17" t="inlineStr"/>
    </row>
    <row r="158">
      <c r="A158" s="13" t="inlineStr">
        <is>
          <t>SAF-05</t>
        </is>
      </c>
      <c r="B158" s="14" t="inlineStr">
        <is>
          <t>Safety rules</t>
        </is>
      </c>
      <c r="C158" s="15" t="inlineStr">
        <is>
          <t>P2</t>
        </is>
      </c>
      <c r="D158" s="16" t="inlineStr">
        <is>
          <t>Typing on the page during a fill</t>
        </is>
      </c>
      <c r="E158" s="14" t="inlineStr">
        <is>
          <t>Fill running</t>
        </is>
      </c>
      <c r="F158" s="14" t="inlineStr">
        <is>
          <t>Click or type in the page during the fill.</t>
        </is>
      </c>
      <c r="G158" s="14" t="inlineStr">
        <is>
          <t>Record the effect. Instruction to testers: do not touch the page while a fill runs.</t>
        </is>
      </c>
      <c r="H158" s="17" t="inlineStr">
        <is>
          <t>Not run</t>
        </is>
      </c>
      <c r="I158" s="18" t="inlineStr"/>
      <c r="J158" s="18" t="inlineStr"/>
      <c r="K158" s="17" t="inlineStr"/>
    </row>
    <row r="159">
      <c r="A159" s="13" t="inlineStr">
        <is>
          <t>SAF-06</t>
        </is>
      </c>
      <c r="B159" s="14" t="inlineStr">
        <is>
          <t>Safety rules</t>
        </is>
      </c>
      <c r="C159" s="15" t="inlineStr">
        <is>
          <t>P1</t>
        </is>
      </c>
      <c r="D159" s="16" t="inlineStr">
        <is>
          <t>Leftover test drafts</t>
        </is>
      </c>
      <c r="E159" s="14" t="inlineStr">
        <is>
          <t>After testing</t>
        </is>
      </c>
      <c r="F159" s="14" t="inlineStr">
        <is>
          <t>List your drafts on Montaji.</t>
        </is>
      </c>
      <c r="G159" s="14" t="inlineStr">
        <is>
          <t>Test drafts are deleted by you. (The extension never deletes.)</t>
        </is>
      </c>
      <c r="H159" s="17" t="inlineStr">
        <is>
          <t>Not run</t>
        </is>
      </c>
      <c r="I159" s="18" t="inlineStr"/>
      <c r="J159" s="18" t="inlineStr"/>
      <c r="K159" s="17" t="inlineStr"/>
    </row>
    <row r="160">
      <c r="A160" s="13" t="inlineStr">
        <is>
          <t>SEC-01</t>
        </is>
      </c>
      <c r="B160" s="14" t="inlineStr">
        <is>
          <t>Data separation &amp; security</t>
        </is>
      </c>
      <c r="C160" s="15" t="inlineStr">
        <is>
          <t>P1</t>
        </is>
      </c>
      <c r="D160" s="16" t="inlineStr">
        <is>
          <t>Another user cannot see your products</t>
        </is>
      </c>
      <c r="E160" s="14" t="inlineStr">
        <is>
          <t>Two accounts in different companies</t>
        </is>
      </c>
      <c r="F160" s="14" t="inlineStr">
        <is>
          <t>Sign in as B and look for A's products.</t>
        </is>
      </c>
      <c r="G160" s="14" t="inlineStr">
        <is>
          <t>B sees only B's company. Nothing of A appears.</t>
        </is>
      </c>
      <c r="H160" s="17" t="inlineStr">
        <is>
          <t>Not run</t>
        </is>
      </c>
      <c r="I160" s="18" t="inlineStr"/>
      <c r="J160" s="18" t="inlineStr"/>
      <c r="K160" s="17" t="inlineStr"/>
    </row>
    <row r="161">
      <c r="A161" s="13" t="inlineStr">
        <is>
          <t>SEC-02</t>
        </is>
      </c>
      <c r="B161" s="14" t="inlineStr">
        <is>
          <t>Data separation &amp; security</t>
        </is>
      </c>
      <c r="C161" s="15" t="inlineStr">
        <is>
          <t>P1</t>
        </is>
      </c>
      <c r="D161" s="16" t="inlineStr">
        <is>
          <t>Direct link to another company's product</t>
        </is>
      </c>
      <c r="E161" s="14" t="inlineStr">
        <is>
          <t>Product link from account A</t>
        </is>
      </c>
      <c r="F161" s="14" t="inlineStr">
        <is>
          <t>Open it while signed in as B.</t>
        </is>
      </c>
      <c r="G161" s="14" t="inlineStr">
        <is>
          <t>Not found / access denied.</t>
        </is>
      </c>
      <c r="H161" s="17" t="inlineStr">
        <is>
          <t>Not run</t>
        </is>
      </c>
      <c r="I161" s="18" t="inlineStr"/>
      <c r="J161" s="18" t="inlineStr"/>
      <c r="K161" s="17" t="inlineStr"/>
    </row>
    <row r="162">
      <c r="A162" s="13" t="inlineStr">
        <is>
          <t>SEC-03</t>
        </is>
      </c>
      <c r="B162" s="14" t="inlineStr">
        <is>
          <t>Data separation &amp; security</t>
        </is>
      </c>
      <c r="C162" s="15" t="inlineStr">
        <is>
          <t>P1</t>
        </is>
      </c>
      <c r="D162" s="16" t="inlineStr">
        <is>
          <t>Extraction endpoint needs a login</t>
        </is>
      </c>
      <c r="E162" s="14" t="inlineStr">
        <is>
          <t>None</t>
        </is>
      </c>
      <c r="F162" s="14" t="inlineStr">
        <is>
          <t>Call the extraction URL without signing in (or after signing out).</t>
        </is>
      </c>
      <c r="G162" s="14" t="inlineStr">
        <is>
          <t>Refused with an authorization error.</t>
        </is>
      </c>
      <c r="H162" s="17" t="inlineStr">
        <is>
          <t>Not run</t>
        </is>
      </c>
      <c r="I162" s="18" t="inlineStr"/>
      <c r="J162" s="18" t="inlineStr"/>
      <c r="K162" s="17" t="inlineStr"/>
    </row>
    <row r="163">
      <c r="A163" s="13" t="inlineStr">
        <is>
          <t>SEC-04</t>
        </is>
      </c>
      <c r="B163" s="14" t="inlineStr">
        <is>
          <t>Data separation &amp; security</t>
        </is>
      </c>
      <c r="C163" s="15" t="inlineStr">
        <is>
          <t>P2</t>
        </is>
      </c>
      <c r="D163" s="16" t="inlineStr">
        <is>
          <t>Documents are private</t>
        </is>
      </c>
      <c r="E163" s="14" t="inlineStr">
        <is>
          <t>Link to a stored file from account A</t>
        </is>
      </c>
      <c r="F163" s="14" t="inlineStr">
        <is>
          <t>Try to open it signed out or as B.</t>
        </is>
      </c>
      <c r="G163" s="14" t="inlineStr">
        <is>
          <t>Refused.</t>
        </is>
      </c>
      <c r="H163" s="17" t="inlineStr">
        <is>
          <t>Not run</t>
        </is>
      </c>
      <c r="I163" s="18" t="inlineStr"/>
      <c r="J163" s="18" t="inlineStr"/>
      <c r="K163" s="17" t="inlineStr"/>
    </row>
    <row r="164">
      <c r="A164" s="13" t="inlineStr">
        <is>
          <t>SEC-05</t>
        </is>
      </c>
      <c r="B164" s="14" t="inlineStr">
        <is>
          <t>Data separation &amp; security</t>
        </is>
      </c>
      <c r="C164" s="15" t="inlineStr">
        <is>
          <t>P2</t>
        </is>
      </c>
      <c r="D164" s="16" t="inlineStr">
        <is>
          <t>Deleting a product removes its files</t>
        </is>
      </c>
      <c r="E164" s="14" t="inlineStr">
        <is>
          <t>Product with documents</t>
        </is>
      </c>
      <c r="F164" s="14" t="inlineStr">
        <is>
          <t>Delete it; check storage (admin).</t>
        </is>
      </c>
      <c r="G164" s="14" t="inlineStr">
        <is>
          <t>Files are gone.</t>
        </is>
      </c>
      <c r="H164" s="17" t="inlineStr">
        <is>
          <t>Not run</t>
        </is>
      </c>
      <c r="I164" s="18" t="inlineStr"/>
      <c r="J164" s="18" t="inlineStr"/>
      <c r="K164" s="17" t="inlineStr"/>
    </row>
    <row r="165">
      <c r="A165" s="13" t="inlineStr">
        <is>
          <t>NFR-01</t>
        </is>
      </c>
      <c r="B165" s="14" t="inlineStr">
        <is>
          <t>Speed, devices and browsers</t>
        </is>
      </c>
      <c r="C165" s="15" t="inlineStr">
        <is>
          <t>P2</t>
        </is>
      </c>
      <c r="D165" s="16" t="inlineStr">
        <is>
          <t>Extraction time</t>
        </is>
      </c>
      <c r="E165" s="14" t="inlineStr">
        <is>
          <t>Sets of 3, 5 and 6 files</t>
        </is>
      </c>
      <c r="F165" s="14" t="inlineStr">
        <is>
          <t>Time Extract with AI.</t>
        </is>
      </c>
      <c r="G165" s="14" t="inlineStr">
        <is>
          <t>Under about 25 seconds, or a clear retryable message.</t>
        </is>
      </c>
      <c r="H165" s="17" t="inlineStr">
        <is>
          <t>Not run</t>
        </is>
      </c>
      <c r="I165" s="18" t="inlineStr"/>
      <c r="J165" s="18" t="inlineStr"/>
      <c r="K165" s="17" t="inlineStr"/>
    </row>
    <row r="166">
      <c r="A166" s="13" t="inlineStr">
        <is>
          <t>NFR-02</t>
        </is>
      </c>
      <c r="B166" s="14" t="inlineStr">
        <is>
          <t>Speed, devices and browsers</t>
        </is>
      </c>
      <c r="C166" s="15" t="inlineStr">
        <is>
          <t>P2</t>
        </is>
      </c>
      <c r="D166" s="16" t="inlineStr">
        <is>
          <t>Phone use</t>
        </is>
      </c>
      <c r="E166" s="14" t="inlineStr">
        <is>
          <t>A phone</t>
        </is>
      </c>
      <c r="F166" s="14" t="inlineStr">
        <is>
          <t>Sign in, create a product, upload from the camera/gallery, extract, review.</t>
        </is>
      </c>
      <c r="G166" s="14" t="inlineStr">
        <is>
          <t>Everything is usable and readable at phone width.</t>
        </is>
      </c>
      <c r="H166" s="17" t="inlineStr">
        <is>
          <t>Not run</t>
        </is>
      </c>
      <c r="I166" s="18" t="inlineStr"/>
      <c r="J166" s="18" t="inlineStr"/>
      <c r="K166" s="17" t="inlineStr"/>
    </row>
    <row r="167">
      <c r="A167" s="13" t="inlineStr">
        <is>
          <t>NFR-03</t>
        </is>
      </c>
      <c r="B167" s="14" t="inlineStr">
        <is>
          <t>Speed, devices and browsers</t>
        </is>
      </c>
      <c r="C167" s="15" t="inlineStr">
        <is>
          <t>P3</t>
        </is>
      </c>
      <c r="D167" s="16" t="inlineStr">
        <is>
          <t>Other browsers for the web app</t>
        </is>
      </c>
      <c r="E167" s="14" t="inlineStr">
        <is>
          <t>Safari and Firefox</t>
        </is>
      </c>
      <c r="F167" s="14" t="inlineStr">
        <is>
          <t>Use the web app (not the extension).</t>
        </is>
      </c>
      <c r="G167" s="14" t="inlineStr">
        <is>
          <t>Web app works. The extension is Chrome-only; record the 'extension not detected' message.</t>
        </is>
      </c>
      <c r="H167" s="17" t="inlineStr">
        <is>
          <t>Not run</t>
        </is>
      </c>
      <c r="I167" s="18" t="inlineStr"/>
      <c r="J167" s="18" t="inlineStr"/>
      <c r="K167" s="17" t="inlineStr"/>
    </row>
    <row r="168">
      <c r="A168" s="13" t="inlineStr">
        <is>
          <t>NFR-04</t>
        </is>
      </c>
      <c r="B168" s="14" t="inlineStr">
        <is>
          <t>Speed, devices and browsers</t>
        </is>
      </c>
      <c r="C168" s="15" t="inlineStr">
        <is>
          <t>P2</t>
        </is>
      </c>
      <c r="D168" s="16" t="inlineStr">
        <is>
          <t>Fill duration</t>
        </is>
      </c>
      <c r="E168" s="14" t="inlineStr">
        <is>
          <t>Product with 5 variants and 40 ingredients each</t>
        </is>
      </c>
      <c r="F168" s="14" t="inlineStr">
        <is>
          <t>Fill Step 4.</t>
        </is>
      </c>
      <c r="G168" s="14" t="inlineStr">
        <is>
          <t>Completes without timing out. Record total time.</t>
        </is>
      </c>
      <c r="H168" s="17" t="inlineStr">
        <is>
          <t>Not run</t>
        </is>
      </c>
      <c r="I168" s="18" t="inlineStr"/>
      <c r="J168" s="18" t="inlineStr"/>
      <c r="K168" s="17" t="inlineStr"/>
    </row>
    <row r="169">
      <c r="A169" s="13" t="inlineStr">
        <is>
          <t>NFR-05</t>
        </is>
      </c>
      <c r="B169" s="14" t="inlineStr">
        <is>
          <t>Speed, devices and browsers</t>
        </is>
      </c>
      <c r="C169" s="15" t="inlineStr">
        <is>
          <t>P3</t>
        </is>
      </c>
      <c r="D169" s="16" t="inlineStr">
        <is>
          <t>Slow internet</t>
        </is>
      </c>
      <c r="E169" s="14" t="inlineStr">
        <is>
          <t>Throttle the connection</t>
        </is>
      </c>
      <c r="F169" s="14" t="inlineStr">
        <is>
          <t>Run upload and extraction.</t>
        </is>
      </c>
      <c r="G169" s="14" t="inlineStr">
        <is>
          <t>Progress texts show; failures give clear messages.</t>
        </is>
      </c>
      <c r="H169" s="17" t="inlineStr">
        <is>
          <t>Not run</t>
        </is>
      </c>
      <c r="I169" s="18" t="inlineStr"/>
      <c r="J169" s="18" t="inlineStr"/>
      <c r="K169" s="17" t="inlineStr"/>
    </row>
    <row r="170">
      <c r="A170" s="13" t="inlineStr">
        <is>
          <t>E2E-01</t>
        </is>
      </c>
      <c r="B170" s="14" t="inlineStr">
        <is>
          <t>End-to-end product scenarios (prepare a real document set for each)</t>
        </is>
      </c>
      <c r="C170" s="15" t="inlineStr">
        <is>
          <t>P1</t>
        </is>
      </c>
      <c r="D170" s="16" t="inlineStr">
        <is>
          <t>E2E-A: Imported cosmetic, 1 variant, Free Sale</t>
        </is>
      </c>
      <c r="E170" s="14" t="inlineStr">
        <is>
          <t>Label + formula with % + FSC (Real1)</t>
        </is>
      </c>
      <c r="F170" s="14" t="inlineStr">
        <is>
          <t>Upload &gt; Extract &gt; Review &gt; Ready &gt; Send &gt; Steps 1-4 on Montaji with uploads &gt; stop before Submit.</t>
        </is>
      </c>
      <c r="G170" s="14" t="inlineStr">
        <is>
          <t>Montaji draft matches RegPilot field by field (use the Data audit sheet). No problems reported.</t>
        </is>
      </c>
      <c r="H170" s="17" t="inlineStr">
        <is>
          <t>Not run</t>
        </is>
      </c>
      <c r="I170" s="18" t="inlineStr"/>
      <c r="J170" s="18" t="inlineStr"/>
      <c r="K170" s="17" t="inlineStr"/>
    </row>
    <row r="171">
      <c r="A171" s="13" t="inlineStr">
        <is>
          <t>E2E-02</t>
        </is>
      </c>
      <c r="B171" s="14" t="inlineStr">
        <is>
          <t>End-to-end product scenarios (prepare a real document set for each)</t>
        </is>
      </c>
      <c r="C171" s="15" t="inlineStr">
        <is>
          <t>P1</t>
        </is>
      </c>
      <c r="D171" s="16" t="inlineStr">
        <is>
          <t>E2E-B: UAE-made fragrance, GMP</t>
        </is>
      </c>
      <c r="E171" s="14" t="inlineStr">
        <is>
          <t>Label + correct composition certificate + GMP</t>
        </is>
      </c>
      <c r="F171" s="14" t="inlineStr">
        <is>
          <t>Same flow.</t>
        </is>
      </c>
      <c r="G171" s="14" t="inlineStr">
        <is>
          <t>UAE country, GMP path, fragrances classification, percentages present.</t>
        </is>
      </c>
      <c r="H171" s="17" t="inlineStr">
        <is>
          <t>Not run</t>
        </is>
      </c>
      <c r="I171" s="18" t="inlineStr"/>
      <c r="J171" s="18" t="inlineStr"/>
      <c r="K171" s="17" t="inlineStr"/>
    </row>
    <row r="172">
      <c r="A172" s="13" t="inlineStr">
        <is>
          <t>E2E-03</t>
        </is>
      </c>
      <c r="B172" s="14" t="inlineStr">
        <is>
          <t>End-to-end product scenarios (prepare a real document set for each)</t>
        </is>
      </c>
      <c r="C172" s="15" t="inlineStr">
        <is>
          <t>P1</t>
        </is>
      </c>
      <c r="D172" s="16" t="inlineStr">
        <is>
          <t>E2E-C: Makeup with 2-3 shades</t>
        </is>
      </c>
      <c r="E172" s="14" t="inlineStr">
        <is>
          <t>Label with each shade barcode + formula + FSC</t>
        </is>
      </c>
      <c r="F172" s="14" t="inlineStr">
        <is>
          <t>Same flow.</t>
        </is>
      </c>
      <c r="G172" s="14" t="inlineStr">
        <is>
          <t>Every variant correct, no overwrites.</t>
        </is>
      </c>
      <c r="H172" s="17" t="inlineStr">
        <is>
          <t>Not run</t>
        </is>
      </c>
      <c r="I172" s="18" t="inlineStr"/>
      <c r="J172" s="18" t="inlineStr"/>
      <c r="K172" s="17" t="inlineStr"/>
    </row>
    <row r="173">
      <c r="A173" s="13" t="inlineStr">
        <is>
          <t>E2E-04</t>
        </is>
      </c>
      <c r="B173" s="14" t="inlineStr">
        <is>
          <t>End-to-end product scenarios (prepare a real document set for each)</t>
        </is>
      </c>
      <c r="C173" s="15" t="inlineStr">
        <is>
          <t>P2</t>
        </is>
      </c>
      <c r="D173" s="16" t="inlineStr">
        <is>
          <t>E2E-D: Multi-scent personal-care item</t>
        </is>
      </c>
      <c r="E173" s="14" t="inlineStr">
        <is>
          <t>Documents for 3 scents</t>
        </is>
      </c>
      <c r="F173" s="14" t="inlineStr">
        <is>
          <t>Same flow.</t>
        </is>
      </c>
      <c r="G173" s="14" t="inlineStr">
        <is>
          <t>One variant per scent with scent names.</t>
        </is>
      </c>
      <c r="H173" s="17" t="inlineStr">
        <is>
          <t>Not run</t>
        </is>
      </c>
      <c r="I173" s="18" t="inlineStr"/>
      <c r="J173" s="18" t="inlineStr"/>
      <c r="K173" s="17" t="inlineStr"/>
    </row>
    <row r="174">
      <c r="A174" s="13" t="inlineStr">
        <is>
          <t>E2E-05</t>
        </is>
      </c>
      <c r="B174" s="14" t="inlineStr">
        <is>
          <t>End-to-end product scenarios (prepare a real document set for each)</t>
        </is>
      </c>
      <c r="C174" s="15" t="inlineStr">
        <is>
          <t>P2</t>
        </is>
      </c>
      <c r="D174" s="16" t="inlineStr">
        <is>
          <t>E2E-E: Hair product with sub-category</t>
        </is>
      </c>
      <c r="E174" s="14" t="inlineStr">
        <is>
          <t>Hair gel/shampoo documents</t>
        </is>
      </c>
      <c r="F174" s="14" t="inlineStr">
        <is>
          <t>Same flow.</t>
        </is>
      </c>
      <c r="G174" s="14" t="inlineStr">
        <is>
          <t>Sub-category 'Hair and scalp ...' selected correctly.</t>
        </is>
      </c>
      <c r="H174" s="17" t="inlineStr">
        <is>
          <t>Not run</t>
        </is>
      </c>
      <c r="I174" s="18" t="inlineStr"/>
      <c r="J174" s="18" t="inlineStr"/>
      <c r="K174" s="17" t="inlineStr"/>
    </row>
    <row r="175">
      <c r="A175" s="13" t="inlineStr">
        <is>
          <t>E2E-06</t>
        </is>
      </c>
      <c r="B175" s="14" t="inlineStr">
        <is>
          <t>End-to-end product scenarios (prepare a real document set for each)</t>
        </is>
      </c>
      <c r="C175" s="15" t="inlineStr">
        <is>
          <t>P1</t>
        </is>
      </c>
      <c r="D175" s="16" t="inlineStr">
        <is>
          <t>E2E-F: Ingredients without percentages</t>
        </is>
      </c>
      <c r="E175" s="14" t="inlineStr">
        <is>
          <t>Label only for ingredients</t>
        </is>
      </c>
      <c r="F175" s="14" t="inlineStr">
        <is>
          <t>Same flow.</t>
        </is>
      </c>
      <c r="G175" s="14" t="inlineStr">
        <is>
          <t>Readiness checklist warns early; on Montaji the unlisted ingredients are left for manual entry.</t>
        </is>
      </c>
      <c r="H175" s="17" t="inlineStr">
        <is>
          <t>Not run</t>
        </is>
      </c>
      <c r="I175" s="18" t="inlineStr"/>
      <c r="J175" s="18" t="inlineStr"/>
      <c r="K175" s="17" t="inlineStr"/>
    </row>
    <row r="176">
      <c r="A176" s="13" t="inlineStr">
        <is>
          <t>E2E-07</t>
        </is>
      </c>
      <c r="B176" s="14" t="inlineStr">
        <is>
          <t>End-to-end product scenarios (prepare a real document set for each)</t>
        </is>
      </c>
      <c r="C176" s="15" t="inlineStr">
        <is>
          <t>P1</t>
        </is>
      </c>
      <c r="D176" s="16" t="inlineStr">
        <is>
          <t>E2E-G: Formula with '&lt;' values (Real3)</t>
        </is>
      </c>
      <c r="E176" s="14" t="inlineStr">
        <is>
          <t>Formula with &lt;0.001 rows</t>
        </is>
      </c>
      <c r="F176" s="14" t="inlineStr">
        <is>
          <t>Same flow.</t>
        </is>
      </c>
      <c r="G176" s="14" t="inlineStr">
        <is>
          <t>Sign kept on those rows (or reported).</t>
        </is>
      </c>
      <c r="H176" s="17" t="inlineStr">
        <is>
          <t>Not run</t>
        </is>
      </c>
      <c r="I176" s="18" t="inlineStr"/>
      <c r="J176" s="18" t="inlineStr"/>
      <c r="K176" s="17" t="inlineStr"/>
    </row>
    <row r="177">
      <c r="A177" s="13" t="inlineStr">
        <is>
          <t>E2E-08</t>
        </is>
      </c>
      <c r="B177" s="14" t="inlineStr">
        <is>
          <t>End-to-end product scenarios (prepare a real document set for each)</t>
        </is>
      </c>
      <c r="C177" s="15" t="inlineStr">
        <is>
          <t>P2</t>
        </is>
      </c>
      <c r="D177" s="16" t="inlineStr">
        <is>
          <t>E2E-H: Very long ingredient list</t>
        </is>
      </c>
      <c r="E177" s="14" t="inlineStr">
        <is>
          <t>Formula with 60+ lines</t>
        </is>
      </c>
      <c r="F177" s="14" t="inlineStr">
        <is>
          <t>Same flow.</t>
        </is>
      </c>
      <c r="G177" s="14" t="inlineStr">
        <is>
          <t>All ingredients accounted for; import completes.</t>
        </is>
      </c>
      <c r="H177" s="17" t="inlineStr">
        <is>
          <t>Not run</t>
        </is>
      </c>
      <c r="I177" s="18" t="inlineStr"/>
      <c r="J177" s="18" t="inlineStr"/>
      <c r="K177" s="17" t="inlineStr"/>
    </row>
    <row r="178">
      <c r="A178" s="13" t="inlineStr">
        <is>
          <t>E2E-09</t>
        </is>
      </c>
      <c r="B178" s="14" t="inlineStr">
        <is>
          <t>End-to-end product scenarios (prepare a real document set for each)</t>
        </is>
      </c>
      <c r="C178" s="15" t="inlineStr">
        <is>
          <t>P1</t>
        </is>
      </c>
      <c r="D178" s="16" t="inlineStr">
        <is>
          <t>E2E-I: Certificate for a different product</t>
        </is>
      </c>
      <c r="E178" s="14" t="inlineStr">
        <is>
          <t>FSC naming another product</t>
        </is>
      </c>
      <c r="F178" s="14" t="inlineStr">
        <is>
          <t>Same flow.</t>
        </is>
      </c>
      <c r="G178" s="14" t="inlineStr">
        <is>
          <t>Red warning shown before sending.</t>
        </is>
      </c>
      <c r="H178" s="17" t="inlineStr">
        <is>
          <t>Not run</t>
        </is>
      </c>
      <c r="I178" s="18" t="inlineStr"/>
      <c r="J178" s="18" t="inlineStr"/>
      <c r="K178" s="17" t="inlineStr"/>
    </row>
    <row r="179">
      <c r="A179" s="13" t="inlineStr">
        <is>
          <t>E2E-10</t>
        </is>
      </c>
      <c r="B179" s="14" t="inlineStr">
        <is>
          <t>End-to-end product scenarios (prepare a real document set for each)</t>
        </is>
      </c>
      <c r="C179" s="15" t="inlineStr">
        <is>
          <t>P1</t>
        </is>
      </c>
      <c r="D179" s="16" t="inlineStr">
        <is>
          <t>E2E-J: Composition certificate for the wrong product (Real2)</t>
        </is>
      </c>
      <c r="E179" s="14" t="inlineStr">
        <is>
          <t>Real2 set</t>
        </is>
      </c>
      <c r="F179" s="14" t="inlineStr">
        <is>
          <t>Same flow.</t>
        </is>
      </c>
      <c r="G179" s="14" t="inlineStr">
        <is>
          <t>Red warning shown. Correct ingredients taken from the label with no percentages; Montaji import leaves them for you.</t>
        </is>
      </c>
      <c r="H179" s="17" t="inlineStr">
        <is>
          <t>Not run</t>
        </is>
      </c>
      <c r="I179" s="18" t="inlineStr"/>
      <c r="J179" s="18" t="inlineStr"/>
      <c r="K179" s="17" t="inlineStr"/>
    </row>
    <row r="180">
      <c r="A180" s="13" t="inlineStr">
        <is>
          <t>E2E-11</t>
        </is>
      </c>
      <c r="B180" s="14" t="inlineStr">
        <is>
          <t>End-to-end product scenarios (prepare a real document set for each)</t>
        </is>
      </c>
      <c r="C180" s="15" t="inlineStr">
        <is>
          <t>P2</t>
        </is>
      </c>
      <c r="D180" s="16" t="inlineStr">
        <is>
          <t>E2E-K: Fragrance in several sizes</t>
        </is>
      </c>
      <c r="E180" s="14" t="inlineStr">
        <is>
          <t>Perfume 50 ml and 100 ml with separate barcodes</t>
        </is>
      </c>
      <c r="F180" s="14" t="inlineStr">
        <is>
          <t>Same flow.</t>
        </is>
      </c>
      <c r="G180" s="14" t="inlineStr">
        <is>
          <t>Two variants with correct sizes.</t>
        </is>
      </c>
      <c r="H180" s="17" t="inlineStr">
        <is>
          <t>Not run</t>
        </is>
      </c>
      <c r="I180" s="18" t="inlineStr"/>
      <c r="J180" s="18" t="inlineStr"/>
      <c r="K180" s="17" t="inlineStr"/>
    </row>
    <row r="181">
      <c r="A181" s="13" t="inlineStr">
        <is>
          <t>E2E-12</t>
        </is>
      </c>
      <c r="B181" s="14" t="inlineStr">
        <is>
          <t>End-to-end product scenarios (prepare a real document set for each)</t>
        </is>
      </c>
      <c r="C181" s="15" t="inlineStr">
        <is>
          <t>P2</t>
        </is>
      </c>
      <c r="D181" s="16" t="inlineStr">
        <is>
          <t>E2E-L: Sunscreen / baby / oral care</t>
        </is>
      </c>
      <c r="E181" s="14" t="inlineStr">
        <is>
          <t>One product each</t>
        </is>
      </c>
      <c r="F181" s="14" t="inlineStr">
        <is>
          <t>Same flow.</t>
        </is>
      </c>
      <c r="G181" s="14" t="inlineStr">
        <is>
          <t>Sensible classification each, flags and shelf life captured.</t>
        </is>
      </c>
      <c r="H181" s="17" t="inlineStr">
        <is>
          <t>Not run</t>
        </is>
      </c>
      <c r="I181" s="18" t="inlineStr"/>
      <c r="J181" s="18" t="inlineStr"/>
      <c r="K181" s="17" t="inlineStr"/>
    </row>
    <row r="182">
      <c r="A182" s="13" t="inlineStr">
        <is>
          <t>E2E-13</t>
        </is>
      </c>
      <c r="B182" s="14" t="inlineStr">
        <is>
          <t>End-to-end product scenarios (prepare a real document set for each)</t>
        </is>
      </c>
      <c r="C182" s="15" t="inlineStr">
        <is>
          <t>P3</t>
        </is>
      </c>
      <c r="D182" s="16" t="inlineStr">
        <is>
          <t>E2E-M: Hotel amenity / home fragrance</t>
        </is>
      </c>
      <c r="E182" s="14" t="inlineStr">
        <is>
          <t>Documents for one of each</t>
        </is>
      </c>
      <c r="F182" s="14" t="inlineStr">
        <is>
          <t>Same flow.</t>
        </is>
      </c>
      <c r="G182" s="14" t="inlineStr">
        <is>
          <t>Sub-category 'Other' where Montaji defines it.</t>
        </is>
      </c>
      <c r="H182" s="17" t="inlineStr">
        <is>
          <t>Not run</t>
        </is>
      </c>
      <c r="I182" s="18" t="inlineStr"/>
      <c r="J182" s="18" t="inlineStr"/>
      <c r="K182" s="17" t="inlineStr"/>
    </row>
  </sheetData>
  <autoFilter ref="A1:K182"/>
  <conditionalFormatting sqref="H2:H182">
    <cfRule type="cellIs" priority="1" operator="equal" dxfId="0">
      <formula>"Pass"</formula>
    </cfRule>
    <cfRule type="cellIs" priority="2" operator="equal" dxfId="1">
      <formula>"Fail"</formula>
    </cfRule>
    <cfRule type="cellIs" priority="3" operator="equal" dxfId="2">
      <formula>"Blocked"</formula>
    </cfRule>
  </conditionalFormatting>
  <dataValidations count="2">
    <dataValidation sqref="H2:H182" showDropDown="0" showInputMessage="0" showErrorMessage="0" allowBlank="0" type="list">
      <formula1>"Not run,Pass,Fail,Blocked"</formula1>
    </dataValidation>
    <dataValidation sqref="C2:C182" showDropDown="0" showInputMessage="0" showErrorMessage="0" allowBlank="0" type="list">
      <formula1>"P1,P2,P3"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10" customWidth="1" min="1" max="1"/>
    <col width="78" customWidth="1" min="2" max="2"/>
    <col width="52" customWidth="1" min="3" max="3"/>
    <col width="12" customWidth="1" min="4" max="4"/>
    <col width="40" customWidth="1" min="5" max="5"/>
  </cols>
  <sheetData>
    <row r="1">
      <c r="A1" s="12" t="inlineStr">
        <is>
          <t>Set</t>
        </is>
      </c>
      <c r="B1" s="12" t="inlineStr">
        <is>
          <t>Real documents to prepare</t>
        </is>
      </c>
      <c r="C1" s="12" t="inlineStr">
        <is>
          <t>What it lets us test</t>
        </is>
      </c>
      <c r="D1" s="12" t="inlineStr">
        <is>
          <t>Prepared?</t>
        </is>
      </c>
      <c r="E1" s="12" t="inlineStr">
        <is>
          <t>Folder / notes</t>
        </is>
      </c>
    </row>
    <row r="2">
      <c r="A2" s="16" t="inlineStr">
        <is>
          <t>DOC-01</t>
        </is>
      </c>
      <c r="B2" s="14" t="inlineStr">
        <is>
          <t>Imported cosmetic, 1 variant, formula with %, FSC, label (Real1 style)</t>
        </is>
      </c>
      <c r="C2" s="14" t="inlineStr">
        <is>
          <t>The standard happy path</t>
        </is>
      </c>
      <c r="D2" s="17" t="inlineStr">
        <is>
          <t>No</t>
        </is>
      </c>
      <c r="E2" s="18" t="inlineStr"/>
    </row>
    <row r="3">
      <c r="A3" s="16" t="inlineStr">
        <is>
          <t>DOC-02</t>
        </is>
      </c>
      <c r="B3" s="14" t="inlineStr">
        <is>
          <t>UAE-made fragrance with matching composition certificate and GMP</t>
        </is>
      </c>
      <c r="C3" s="14" t="inlineStr">
        <is>
          <t>UAE branch, GMP, fragrances</t>
        </is>
      </c>
      <c r="D3" s="17" t="inlineStr">
        <is>
          <t>No</t>
        </is>
      </c>
      <c r="E3" s="18" t="inlineStr"/>
    </row>
    <row r="4">
      <c r="A4" s="16" t="inlineStr">
        <is>
          <t>DOC-03</t>
        </is>
      </c>
      <c r="B4" s="14" t="inlineStr">
        <is>
          <t>Makeup with 2-3 shades, one barcode each, label photo of every shade</t>
        </is>
      </c>
      <c r="C4" s="14" t="inlineStr">
        <is>
          <t>Multi-variant fill, shade codes</t>
        </is>
      </c>
      <c r="D4" s="17" t="inlineStr">
        <is>
          <t>No</t>
        </is>
      </c>
      <c r="E4" s="18" t="inlineStr"/>
    </row>
    <row r="5">
      <c r="A5" s="16" t="inlineStr">
        <is>
          <t>DOC-04</t>
        </is>
      </c>
      <c r="B5" s="14" t="inlineStr">
        <is>
          <t>Product with named shades (not numbers)</t>
        </is>
      </c>
      <c r="C5" s="14" t="inlineStr">
        <is>
          <t>Shade text kept as written</t>
        </is>
      </c>
      <c r="D5" s="17" t="inlineStr">
        <is>
          <t>No</t>
        </is>
      </c>
      <c r="E5" s="18" t="inlineStr"/>
    </row>
    <row r="6">
      <c r="A6" s="16" t="inlineStr">
        <is>
          <t>DOC-05</t>
        </is>
      </c>
      <c r="B6" s="14" t="inlineStr">
        <is>
          <t>Product in 3 scents or flavours</t>
        </is>
      </c>
      <c r="C6" s="14" t="inlineStr">
        <is>
          <t>Scent/flavour variants</t>
        </is>
      </c>
      <c r="D6" s="17" t="inlineStr">
        <is>
          <t>No</t>
        </is>
      </c>
      <c r="E6" s="18" t="inlineStr"/>
    </row>
    <row r="7">
      <c r="A7" s="16" t="inlineStr">
        <is>
          <t>DOC-06</t>
        </is>
      </c>
      <c r="B7" s="14" t="inlineStr">
        <is>
          <t>Product in 2 sizes with separate barcodes</t>
        </is>
      </c>
      <c r="C7" s="14" t="inlineStr">
        <is>
          <t>Multi-size variants, units</t>
        </is>
      </c>
      <c r="D7" s="17" t="inlineStr">
        <is>
          <t>No</t>
        </is>
      </c>
      <c r="E7" s="18" t="inlineStr"/>
    </row>
    <row r="8">
      <c r="A8" s="16" t="inlineStr">
        <is>
          <t>DOC-07</t>
        </is>
      </c>
      <c r="B8" s="14" t="inlineStr">
        <is>
          <t>Formula as a scanned/photographed document</t>
        </is>
      </c>
      <c r="C8" s="14" t="inlineStr">
        <is>
          <t>Vision accuracy</t>
        </is>
      </c>
      <c r="D8" s="17" t="inlineStr">
        <is>
          <t>No</t>
        </is>
      </c>
      <c r="E8" s="18" t="inlineStr"/>
    </row>
    <row r="9">
      <c r="A9" s="16" t="inlineStr">
        <is>
          <t>DOC-08</t>
        </is>
      </c>
      <c r="B9" s="14" t="inlineStr">
        <is>
          <t>Label as a phone photo, slightly tilted</t>
        </is>
      </c>
      <c r="C9" s="14" t="inlineStr">
        <is>
          <t>Image quality tolerance</t>
        </is>
      </c>
      <c r="D9" s="17" t="inlineStr">
        <is>
          <t>No</t>
        </is>
      </c>
      <c r="E9" s="18" t="inlineStr"/>
    </row>
    <row r="10">
      <c r="A10" s="16" t="inlineStr">
        <is>
          <t>DOC-09</t>
        </is>
      </c>
      <c r="B10" s="14" t="inlineStr">
        <is>
          <t>Bilingual Arabic/English label</t>
        </is>
      </c>
      <c r="C10" s="14" t="inlineStr">
        <is>
          <t>Arabic handling</t>
        </is>
      </c>
      <c r="D10" s="17" t="inlineStr">
        <is>
          <t>No</t>
        </is>
      </c>
      <c r="E10" s="18" t="inlineStr"/>
    </row>
    <row r="11">
      <c r="A11" s="16" t="inlineStr">
        <is>
          <t>DOC-10</t>
        </is>
      </c>
      <c r="B11" s="14" t="inlineStr">
        <is>
          <t>Label only (no formula, no certificate)</t>
        </is>
      </c>
      <c r="C11" s="14" t="inlineStr">
        <is>
          <t>Missing percentages, missing certificate warning</t>
        </is>
      </c>
      <c r="D11" s="17" t="inlineStr">
        <is>
          <t>No</t>
        </is>
      </c>
      <c r="E11" s="18" t="inlineStr"/>
    </row>
    <row r="12">
      <c r="A12" s="16" t="inlineStr">
        <is>
          <t>DOC-11</t>
        </is>
      </c>
      <c r="B12" s="14" t="inlineStr">
        <is>
          <t>Formula with '&lt;' values, CAS numbers and very small percentages (Real3 style)</t>
        </is>
      </c>
      <c r="C12" s="14" t="inlineStr">
        <is>
          <t>Percentage formats</t>
        </is>
      </c>
      <c r="D12" s="17" t="inlineStr">
        <is>
          <t>No</t>
        </is>
      </c>
      <c r="E12" s="18" t="inlineStr"/>
    </row>
    <row r="13">
      <c r="A13" s="16" t="inlineStr">
        <is>
          <t>DOC-12</t>
        </is>
      </c>
      <c r="B13" s="14" t="inlineStr">
        <is>
          <t>Formula with 60+ ingredients, and one with 120+</t>
        </is>
      </c>
      <c r="C13" s="14" t="inlineStr">
        <is>
          <t>Long lists and the 113 limit</t>
        </is>
      </c>
      <c r="D13" s="17" t="inlineStr">
        <is>
          <t>No</t>
        </is>
      </c>
      <c r="E13" s="18" t="inlineStr"/>
    </row>
    <row r="14">
      <c r="A14" s="16" t="inlineStr">
        <is>
          <t>DOC-13</t>
        </is>
      </c>
      <c r="B14" s="14" t="inlineStr">
        <is>
          <t>Certificate that lists many products, and one listing a different product</t>
        </is>
      </c>
      <c r="C14" s="14" t="inlineStr">
        <is>
          <t>Certificate match logic</t>
        </is>
      </c>
      <c r="D14" s="17" t="inlineStr">
        <is>
          <t>No</t>
        </is>
      </c>
      <c r="E14" s="18" t="inlineStr"/>
    </row>
    <row r="15">
      <c r="A15" s="16" t="inlineStr">
        <is>
          <t>DOC-14</t>
        </is>
      </c>
      <c r="B15" s="14" t="inlineStr">
        <is>
          <t>A formula or COA belonging to another product (Real2 style)</t>
        </is>
      </c>
      <c r="C15" s="14" t="inlineStr">
        <is>
          <t>Mismatch warning</t>
        </is>
      </c>
      <c r="D15" s="17" t="inlineStr">
        <is>
          <t>No</t>
        </is>
      </c>
      <c r="E15" s="18" t="inlineStr"/>
    </row>
    <row r="16">
      <c r="A16" s="16" t="inlineStr">
        <is>
          <t>DOC-15</t>
        </is>
      </c>
      <c r="B16" s="14" t="inlineStr">
        <is>
          <t>One product each for: hair, skin care, sun care, baby, oral care, deodorant, hotel amenity, home fragrance</t>
        </is>
      </c>
      <c r="C16" s="14" t="inlineStr">
        <is>
          <t>Classification and sub-categories</t>
        </is>
      </c>
      <c r="D16" s="17" t="inlineStr">
        <is>
          <t>No</t>
        </is>
      </c>
      <c r="E16" s="18" t="inlineStr"/>
    </row>
    <row r="17">
      <c r="A17" s="16" t="inlineStr">
        <is>
          <t>DOC-16</t>
        </is>
      </c>
      <c r="B17" s="14" t="inlineStr">
        <is>
          <t>A detergent, a biocide and a health supplement</t>
        </is>
      </c>
      <c r="C17" s="14" t="inlineStr">
        <is>
          <t>Groups whose taxonomy is not built yet</t>
        </is>
      </c>
      <c r="D17" s="17" t="inlineStr">
        <is>
          <t>No</t>
        </is>
      </c>
      <c r="E17" s="18" t="inlineStr"/>
    </row>
    <row r="18">
      <c r="A18" s="16" t="inlineStr">
        <is>
          <t>DOC-17</t>
        </is>
      </c>
      <c r="B18" s="14" t="inlineStr">
        <is>
          <t>A product whose barcode is already registered on Montaji (use DM STACEY only)</t>
        </is>
      </c>
      <c r="C18" s="14" t="inlineStr">
        <is>
          <t>Barcode already used message</t>
        </is>
      </c>
      <c r="D18" s="17" t="inlineStr">
        <is>
          <t>No</t>
        </is>
      </c>
      <c r="E18" s="18" t="inlineStr"/>
    </row>
    <row r="19">
      <c r="A19" s="16" t="inlineStr">
        <is>
          <t>DOC-18</t>
        </is>
      </c>
      <c r="B19" s="14" t="inlineStr">
        <is>
          <t>A product without a visible barcode</t>
        </is>
      </c>
      <c r="C19" s="14" t="inlineStr">
        <is>
          <t>No invented barcode</t>
        </is>
      </c>
      <c r="D19" s="17" t="inlineStr">
        <is>
          <t>No</t>
        </is>
      </c>
      <c r="E19" s="18" t="inlineStr"/>
    </row>
    <row r="20">
      <c r="A20" s="16" t="inlineStr">
        <is>
          <t>DOC-19</t>
        </is>
      </c>
      <c r="B20" s="14" t="inlineStr">
        <is>
          <t>A certificate in Arabic or French</t>
        </is>
      </c>
      <c r="C20" s="14" t="inlineStr">
        <is>
          <t>Non-English certificate</t>
        </is>
      </c>
      <c r="D20" s="17" t="inlineStr">
        <is>
          <t>No</t>
        </is>
      </c>
      <c r="E20" s="18" t="inlineStr"/>
    </row>
    <row r="21">
      <c r="A21" s="16" t="inlineStr">
        <is>
          <t>DOC-20</t>
        </is>
      </c>
      <c r="B21" s="14" t="inlineStr">
        <is>
          <t>A damaged / password-protected PDF and a 16 MB file</t>
        </is>
      </c>
      <c r="C21" s="14" t="inlineStr">
        <is>
          <t>Error handling</t>
        </is>
      </c>
      <c r="D21" s="17" t="inlineStr">
        <is>
          <t>No</t>
        </is>
      </c>
      <c r="E21" s="18" t="inlineStr"/>
    </row>
  </sheetData>
  <dataValidations count="1">
    <dataValidation sqref="D2:D21" showDropDown="0" showInputMessage="0" showErrorMessage="0" allowBlank="0" type="list">
      <formula1>"No,Yes"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9"/>
  <sheetViews>
    <sheetView showGridLines="0" workbookViewId="0">
      <pane ySplit="3" topLeftCell="A4" activePane="bottomLeft" state="frozen"/>
      <selection pane="bottomLeft" activeCell="A1" sqref="A1"/>
    </sheetView>
  </sheetViews>
  <sheetFormatPr baseColWidth="8" defaultRowHeight="15"/>
  <cols>
    <col width="16" customWidth="1" min="1" max="1"/>
    <col width="9" customWidth="1" min="2" max="2"/>
    <col width="30" customWidth="1" min="3" max="3"/>
    <col width="46" customWidth="1" min="4" max="4"/>
    <col width="30" customWidth="1" min="5" max="5"/>
    <col width="30" customWidth="1" min="6" max="6"/>
    <col width="10" customWidth="1" min="7" max="7"/>
    <col width="36" customWidth="1" min="8" max="8"/>
  </cols>
  <sheetData>
    <row r="1">
      <c r="A1" s="1" t="inlineStr">
        <is>
          <t>Field-by-field audit: RegPilot vs Montaji</t>
        </is>
      </c>
    </row>
    <row r="2">
      <c r="A2" s="2" t="inlineStr">
        <is>
          <t>Fill one block per product after a run. Copy a block for more products. Variants: add the variant number to the field name.</t>
        </is>
      </c>
    </row>
    <row r="4">
      <c r="A4" s="12" t="inlineStr">
        <is>
          <t>Product</t>
        </is>
      </c>
      <c r="B4" s="12" t="inlineStr">
        <is>
          <t>Step</t>
        </is>
      </c>
      <c r="C4" s="12" t="inlineStr">
        <is>
          <t>Field</t>
        </is>
      </c>
      <c r="D4" s="12" t="inlineStr">
        <is>
          <t>What to compare</t>
        </is>
      </c>
      <c r="E4" s="12" t="inlineStr">
        <is>
          <t>RegPilot value</t>
        </is>
      </c>
      <c r="F4" s="12" t="inlineStr">
        <is>
          <t>Montaji value</t>
        </is>
      </c>
      <c r="G4" s="12" t="inlineStr">
        <is>
          <t>Match?</t>
        </is>
      </c>
      <c r="H4" s="12" t="inlineStr">
        <is>
          <t>Notes</t>
        </is>
      </c>
    </row>
    <row r="5">
      <c r="A5" s="14" t="inlineStr">
        <is>
          <t>Product A</t>
        </is>
      </c>
      <c r="B5" s="14" t="inlineStr">
        <is>
          <t>Step 2</t>
        </is>
      </c>
      <c r="C5" s="14" t="inlineStr">
        <is>
          <t>Country of origin</t>
        </is>
      </c>
      <c r="D5" s="14" t="inlineStr">
        <is>
          <t>Same country, spelled as Montaji lists it</t>
        </is>
      </c>
      <c r="E5" s="18" t="inlineStr"/>
      <c r="F5" s="18" t="inlineStr"/>
      <c r="G5" s="18" t="inlineStr"/>
      <c r="H5" s="18" t="inlineStr"/>
    </row>
    <row r="6">
      <c r="A6" s="14" t="inlineStr">
        <is>
          <t>Product A</t>
        </is>
      </c>
      <c r="B6" s="14" t="inlineStr">
        <is>
          <t>Step 2</t>
        </is>
      </c>
      <c r="C6" s="14" t="inlineStr">
        <is>
          <t>Product name</t>
        </is>
      </c>
      <c r="D6" s="14" t="inlineStr">
        <is>
          <t>Identical text</t>
        </is>
      </c>
      <c r="E6" s="18" t="inlineStr"/>
      <c r="F6" s="18" t="inlineStr"/>
      <c r="G6" s="18" t="inlineStr"/>
      <c r="H6" s="18" t="inlineStr"/>
    </row>
    <row r="7">
      <c r="A7" s="14" t="inlineStr">
        <is>
          <t>Product A</t>
        </is>
      </c>
      <c r="B7" s="14" t="inlineStr">
        <is>
          <t>Step 2</t>
        </is>
      </c>
      <c r="C7" s="14" t="inlineStr">
        <is>
          <t>Group</t>
        </is>
      </c>
      <c r="D7" s="14" t="inlineStr">
        <is>
          <t>Same as RegPilot</t>
        </is>
      </c>
      <c r="E7" s="18" t="inlineStr"/>
      <c r="F7" s="18" t="inlineStr"/>
      <c r="G7" s="18" t="inlineStr"/>
      <c r="H7" s="18" t="inlineStr"/>
    </row>
    <row r="8">
      <c r="A8" s="14" t="inlineStr">
        <is>
          <t>Product A</t>
        </is>
      </c>
      <c r="B8" s="14" t="inlineStr">
        <is>
          <t>Step 2</t>
        </is>
      </c>
      <c r="C8" s="14" t="inlineStr">
        <is>
          <t>Category</t>
        </is>
      </c>
      <c r="D8" s="14" t="inlineStr">
        <is>
          <t>Same as RegPilot</t>
        </is>
      </c>
      <c r="E8" s="18" t="inlineStr"/>
      <c r="F8" s="18" t="inlineStr"/>
      <c r="G8" s="18" t="inlineStr"/>
      <c r="H8" s="18" t="inlineStr"/>
    </row>
    <row r="9">
      <c r="A9" s="14" t="inlineStr">
        <is>
          <t>Product A</t>
        </is>
      </c>
      <c r="B9" s="14" t="inlineStr">
        <is>
          <t>Step 2</t>
        </is>
      </c>
      <c r="C9" s="14" t="inlineStr">
        <is>
          <t>Sub-category</t>
        </is>
      </c>
      <c r="D9" s="14" t="inlineStr">
        <is>
          <t>Same as RegPilot</t>
        </is>
      </c>
      <c r="E9" s="18" t="inlineStr"/>
      <c r="F9" s="18" t="inlineStr"/>
      <c r="G9" s="18" t="inlineStr"/>
      <c r="H9" s="18" t="inlineStr"/>
    </row>
    <row r="10">
      <c r="A10" s="14" t="inlineStr">
        <is>
          <t>Product A</t>
        </is>
      </c>
      <c r="B10" s="14" t="inlineStr">
        <is>
          <t>Step 2</t>
        </is>
      </c>
      <c r="C10" s="14" t="inlineStr">
        <is>
          <t>Brand</t>
        </is>
      </c>
      <c r="D10" s="14" t="inlineStr">
        <is>
          <t>Same text</t>
        </is>
      </c>
      <c r="E10" s="18" t="inlineStr"/>
      <c r="F10" s="18" t="inlineStr"/>
      <c r="G10" s="18" t="inlineStr"/>
      <c r="H10" s="18" t="inlineStr"/>
    </row>
    <row r="11">
      <c r="A11" s="14" t="inlineStr">
        <is>
          <t>Product A</t>
        </is>
      </c>
      <c r="B11" s="14" t="inlineStr">
        <is>
          <t>Step 3</t>
        </is>
      </c>
      <c r="C11" s="14" t="inlineStr">
        <is>
          <t>Certificate file</t>
        </is>
      </c>
      <c r="D11" s="14" t="inlineStr">
        <is>
          <t>Right file in the right section (Free Sale or GMP)</t>
        </is>
      </c>
      <c r="E11" s="18" t="inlineStr"/>
      <c r="F11" s="18" t="inlineStr"/>
      <c r="G11" s="18" t="inlineStr"/>
      <c r="H11" s="18" t="inlineStr"/>
    </row>
    <row r="12">
      <c r="A12" s="14" t="inlineStr">
        <is>
          <t>Product A</t>
        </is>
      </c>
      <c r="B12" s="14" t="inlineStr">
        <is>
          <t>Step 4</t>
        </is>
      </c>
      <c r="C12" s="14" t="inlineStr">
        <is>
          <t>Barcode (each variant)</t>
        </is>
      </c>
      <c r="D12" s="14" t="inlineStr">
        <is>
          <t>Digit by digit</t>
        </is>
      </c>
      <c r="E12" s="18" t="inlineStr"/>
      <c r="F12" s="18" t="inlineStr"/>
      <c r="G12" s="18" t="inlineStr"/>
      <c r="H12" s="18" t="inlineStr"/>
    </row>
    <row r="13">
      <c r="A13" s="14" t="inlineStr">
        <is>
          <t>Product A</t>
        </is>
      </c>
      <c r="B13" s="14" t="inlineStr">
        <is>
          <t>Step 4</t>
        </is>
      </c>
      <c r="C13" s="14" t="inlineStr">
        <is>
          <t>Colour / shade (each variant)</t>
        </is>
      </c>
      <c r="D13" s="14" t="inlineStr">
        <is>
          <t>Manufacturer's own code or name</t>
        </is>
      </c>
      <c r="E13" s="18" t="inlineStr"/>
      <c r="F13" s="18" t="inlineStr"/>
      <c r="G13" s="18" t="inlineStr"/>
      <c r="H13" s="18" t="inlineStr"/>
    </row>
    <row r="14">
      <c r="A14" s="14" t="inlineStr">
        <is>
          <t>Product A</t>
        </is>
      </c>
      <c r="B14" s="14" t="inlineStr">
        <is>
          <t>Step 4</t>
        </is>
      </c>
      <c r="C14" s="14" t="inlineStr">
        <is>
          <t>Scent / flavour (each variant)</t>
        </is>
      </c>
      <c r="D14" s="14" t="inlineStr">
        <is>
          <t>Manufacturer's own name or NA</t>
        </is>
      </c>
      <c r="E14" s="18" t="inlineStr"/>
      <c r="F14" s="18" t="inlineStr"/>
      <c r="G14" s="18" t="inlineStr"/>
      <c r="H14" s="18" t="inlineStr"/>
    </row>
    <row r="15">
      <c r="A15" s="14" t="inlineStr">
        <is>
          <t>Product A</t>
        </is>
      </c>
      <c r="B15" s="14" t="inlineStr">
        <is>
          <t>Step 4</t>
        </is>
      </c>
      <c r="C15" s="14" t="inlineStr">
        <is>
          <t>Size / volume (each variant)</t>
        </is>
      </c>
      <c r="D15" s="14" t="inlineStr">
        <is>
          <t>Number (Montaji may show two decimals)</t>
        </is>
      </c>
      <c r="E15" s="18" t="inlineStr"/>
      <c r="F15" s="18" t="inlineStr"/>
      <c r="G15" s="18" t="inlineStr"/>
      <c r="H15" s="18" t="inlineStr"/>
    </row>
    <row r="16">
      <c r="A16" s="14" t="inlineStr">
        <is>
          <t>Product A</t>
        </is>
      </c>
      <c r="B16" s="14" t="inlineStr">
        <is>
          <t>Step 4</t>
        </is>
      </c>
      <c r="C16" s="14" t="inlineStr">
        <is>
          <t>Unit (each variant)</t>
        </is>
      </c>
      <c r="D16" s="14" t="inlineStr">
        <is>
          <t>Same unit</t>
        </is>
      </c>
      <c r="E16" s="18" t="inlineStr"/>
      <c r="F16" s="18" t="inlineStr"/>
      <c r="G16" s="18" t="inlineStr"/>
      <c r="H16" s="18" t="inlineStr"/>
    </row>
    <row r="17">
      <c r="A17" s="14" t="inlineStr">
        <is>
          <t>Product A</t>
        </is>
      </c>
      <c r="B17" s="14" t="inlineStr">
        <is>
          <t>Step 4</t>
        </is>
      </c>
      <c r="C17" s="14" t="inlineStr">
        <is>
          <t>Has production date</t>
        </is>
      </c>
      <c r="D17" s="14" t="inlineStr">
        <is>
          <t>Yes/No as RegPilot</t>
        </is>
      </c>
      <c r="E17" s="18" t="inlineStr"/>
      <c r="F17" s="18" t="inlineStr"/>
      <c r="G17" s="18" t="inlineStr"/>
      <c r="H17" s="18" t="inlineStr"/>
    </row>
    <row r="18">
      <c r="A18" s="14" t="inlineStr">
        <is>
          <t>Product A</t>
        </is>
      </c>
      <c r="B18" s="14" t="inlineStr">
        <is>
          <t>Step 4</t>
        </is>
      </c>
      <c r="C18" s="14" t="inlineStr">
        <is>
          <t>Has expiry date</t>
        </is>
      </c>
      <c r="D18" s="14" t="inlineStr">
        <is>
          <t>Yes/No as RegPilot</t>
        </is>
      </c>
      <c r="E18" s="18" t="inlineStr"/>
      <c r="F18" s="18" t="inlineStr"/>
      <c r="G18" s="18" t="inlineStr"/>
      <c r="H18" s="18" t="inlineStr"/>
    </row>
    <row r="19">
      <c r="A19" s="14" t="inlineStr">
        <is>
          <t>Product A</t>
        </is>
      </c>
      <c r="B19" s="14" t="inlineStr">
        <is>
          <t>Step 4</t>
        </is>
      </c>
      <c r="C19" s="14" t="inlineStr">
        <is>
          <t>Has batch number</t>
        </is>
      </c>
      <c r="D19" s="14" t="inlineStr">
        <is>
          <t>Yes/No as RegPilot</t>
        </is>
      </c>
      <c r="E19" s="18" t="inlineStr"/>
      <c r="F19" s="18" t="inlineStr"/>
      <c r="G19" s="18" t="inlineStr"/>
      <c r="H19" s="18" t="inlineStr"/>
    </row>
    <row r="20">
      <c r="A20" s="14" t="inlineStr">
        <is>
          <t>Product A</t>
        </is>
      </c>
      <c r="B20" s="14" t="inlineStr">
        <is>
          <t>Step 4</t>
        </is>
      </c>
      <c r="C20" s="14" t="inlineStr">
        <is>
          <t>Has period after opening</t>
        </is>
      </c>
      <c r="D20" s="14" t="inlineStr">
        <is>
          <t>Yes/No as RegPilot</t>
        </is>
      </c>
      <c r="E20" s="18" t="inlineStr"/>
      <c r="F20" s="18" t="inlineStr"/>
      <c r="G20" s="18" t="inlineStr"/>
      <c r="H20" s="18" t="inlineStr"/>
    </row>
    <row r="21">
      <c r="A21" s="14" t="inlineStr">
        <is>
          <t>Product A</t>
        </is>
      </c>
      <c r="B21" s="14" t="inlineStr">
        <is>
          <t>Step 4</t>
        </is>
      </c>
      <c r="C21" s="14" t="inlineStr">
        <is>
          <t>Shelf life and period type</t>
        </is>
      </c>
      <c r="D21" s="14" t="inlineStr">
        <is>
          <t>Same number and period</t>
        </is>
      </c>
      <c r="E21" s="18" t="inlineStr"/>
      <c r="F21" s="18" t="inlineStr"/>
      <c r="G21" s="18" t="inlineStr"/>
      <c r="H21" s="18" t="inlineStr"/>
    </row>
    <row r="22">
      <c r="A22" s="14" t="inlineStr">
        <is>
          <t>Product A</t>
        </is>
      </c>
      <c r="B22" s="14" t="inlineStr">
        <is>
          <t>Step 4</t>
        </is>
      </c>
      <c r="C22" s="14" t="inlineStr">
        <is>
          <t>Ingredient count</t>
        </is>
      </c>
      <c r="D22" s="14" t="inlineStr">
        <is>
          <t>Montaji 'of N' equals RegPilot count (minus those left for manual entry)</t>
        </is>
      </c>
      <c r="E22" s="18" t="inlineStr"/>
      <c r="F22" s="18" t="inlineStr"/>
      <c r="G22" s="18" t="inlineStr"/>
      <c r="H22" s="18" t="inlineStr"/>
    </row>
    <row r="23">
      <c r="A23" s="14" t="inlineStr">
        <is>
          <t>Product A</t>
        </is>
      </c>
      <c r="B23" s="14" t="inlineStr">
        <is>
          <t>Step 4</t>
        </is>
      </c>
      <c r="C23" s="14" t="inlineStr">
        <is>
          <t>Ingredient names</t>
        </is>
      </c>
      <c r="D23" s="14" t="inlineStr">
        <is>
          <t>Same names; note any Montaji replacement</t>
        </is>
      </c>
      <c r="E23" s="18" t="inlineStr"/>
      <c r="F23" s="18" t="inlineStr"/>
      <c r="G23" s="18" t="inlineStr"/>
      <c r="H23" s="18" t="inlineStr"/>
    </row>
    <row r="24">
      <c r="A24" s="14" t="inlineStr">
        <is>
          <t>Product A</t>
        </is>
      </c>
      <c r="B24" s="14" t="inlineStr">
        <is>
          <t>Step 4</t>
        </is>
      </c>
      <c r="C24" s="14" t="inlineStr">
        <is>
          <t>Ingredient percentages</t>
        </is>
      </c>
      <c r="D24" s="14" t="inlineStr">
        <is>
          <t>Same values, '&lt;' kept where applicable, nothing rounded to 0</t>
        </is>
      </c>
      <c r="E24" s="18" t="inlineStr"/>
      <c r="F24" s="18" t="inlineStr"/>
      <c r="G24" s="18" t="inlineStr"/>
      <c r="H24" s="18" t="inlineStr"/>
    </row>
    <row r="25">
      <c r="A25" s="14" t="inlineStr">
        <is>
          <t>Product A</t>
        </is>
      </c>
      <c r="B25" s="14" t="inlineStr">
        <is>
          <t>Step 4</t>
        </is>
      </c>
      <c r="C25" s="14" t="inlineStr">
        <is>
          <t>Artwork file</t>
        </is>
      </c>
      <c r="D25" s="14" t="inlineStr">
        <is>
          <t>Right file on the right variant</t>
        </is>
      </c>
      <c r="E25" s="18" t="inlineStr"/>
      <c r="F25" s="18" t="inlineStr"/>
      <c r="G25" s="18" t="inlineStr"/>
      <c r="H25" s="18" t="inlineStr"/>
    </row>
    <row r="26">
      <c r="A26" s="14" t="inlineStr">
        <is>
          <t>Product A</t>
        </is>
      </c>
      <c r="B26" s="14" t="inlineStr">
        <is>
          <t>Step 4</t>
        </is>
      </c>
      <c r="C26" s="14" t="inlineStr">
        <is>
          <t>Ingredients Report file</t>
        </is>
      </c>
      <c r="D26" s="14" t="inlineStr">
        <is>
          <t>Right file on the right variant</t>
        </is>
      </c>
      <c r="E26" s="18" t="inlineStr"/>
      <c r="F26" s="18" t="inlineStr"/>
      <c r="G26" s="18" t="inlineStr"/>
      <c r="H26" s="18" t="inlineStr"/>
    </row>
    <row r="27">
      <c r="A27" s="14" t="inlineStr">
        <is>
          <t>Product A</t>
        </is>
      </c>
      <c r="B27" s="14" t="inlineStr">
        <is>
          <t>Step 4</t>
        </is>
      </c>
      <c r="C27" s="14" t="inlineStr">
        <is>
          <t>Save and Validate result</t>
        </is>
      </c>
      <c r="D27" s="14" t="inlineStr">
        <is>
          <t>Passed / the message shown</t>
        </is>
      </c>
      <c r="E27" s="18" t="inlineStr"/>
      <c r="F27" s="18" t="inlineStr"/>
      <c r="G27" s="18" t="inlineStr"/>
      <c r="H27" s="18" t="inlineStr"/>
    </row>
    <row r="30">
      <c r="A30" s="12" t="inlineStr">
        <is>
          <t>Product</t>
        </is>
      </c>
      <c r="B30" s="12" t="inlineStr">
        <is>
          <t>Step</t>
        </is>
      </c>
      <c r="C30" s="12" t="inlineStr">
        <is>
          <t>Field</t>
        </is>
      </c>
      <c r="D30" s="12" t="inlineStr">
        <is>
          <t>What to compare</t>
        </is>
      </c>
      <c r="E30" s="12" t="inlineStr">
        <is>
          <t>RegPilot value</t>
        </is>
      </c>
      <c r="F30" s="12" t="inlineStr">
        <is>
          <t>Montaji value</t>
        </is>
      </c>
      <c r="G30" s="12" t="inlineStr">
        <is>
          <t>Match?</t>
        </is>
      </c>
      <c r="H30" s="12" t="inlineStr">
        <is>
          <t>Notes</t>
        </is>
      </c>
    </row>
    <row r="31">
      <c r="A31" s="14" t="inlineStr">
        <is>
          <t>Product B</t>
        </is>
      </c>
      <c r="B31" s="14" t="inlineStr">
        <is>
          <t>Step 2</t>
        </is>
      </c>
      <c r="C31" s="14" t="inlineStr">
        <is>
          <t>Country of origin</t>
        </is>
      </c>
      <c r="D31" s="14" t="inlineStr">
        <is>
          <t>Same country, spelled as Montaji lists it</t>
        </is>
      </c>
      <c r="E31" s="18" t="inlineStr"/>
      <c r="F31" s="18" t="inlineStr"/>
      <c r="G31" s="18" t="inlineStr"/>
      <c r="H31" s="18" t="inlineStr"/>
    </row>
    <row r="32">
      <c r="A32" s="14" t="inlineStr">
        <is>
          <t>Product B</t>
        </is>
      </c>
      <c r="B32" s="14" t="inlineStr">
        <is>
          <t>Step 2</t>
        </is>
      </c>
      <c r="C32" s="14" t="inlineStr">
        <is>
          <t>Product name</t>
        </is>
      </c>
      <c r="D32" s="14" t="inlineStr">
        <is>
          <t>Identical text</t>
        </is>
      </c>
      <c r="E32" s="18" t="inlineStr"/>
      <c r="F32" s="18" t="inlineStr"/>
      <c r="G32" s="18" t="inlineStr"/>
      <c r="H32" s="18" t="inlineStr"/>
    </row>
    <row r="33">
      <c r="A33" s="14" t="inlineStr">
        <is>
          <t>Product B</t>
        </is>
      </c>
      <c r="B33" s="14" t="inlineStr">
        <is>
          <t>Step 2</t>
        </is>
      </c>
      <c r="C33" s="14" t="inlineStr">
        <is>
          <t>Group</t>
        </is>
      </c>
      <c r="D33" s="14" t="inlineStr">
        <is>
          <t>Same as RegPilot</t>
        </is>
      </c>
      <c r="E33" s="18" t="inlineStr"/>
      <c r="F33" s="18" t="inlineStr"/>
      <c r="G33" s="18" t="inlineStr"/>
      <c r="H33" s="18" t="inlineStr"/>
    </row>
    <row r="34">
      <c r="A34" s="14" t="inlineStr">
        <is>
          <t>Product B</t>
        </is>
      </c>
      <c r="B34" s="14" t="inlineStr">
        <is>
          <t>Step 2</t>
        </is>
      </c>
      <c r="C34" s="14" t="inlineStr">
        <is>
          <t>Category</t>
        </is>
      </c>
      <c r="D34" s="14" t="inlineStr">
        <is>
          <t>Same as RegPilot</t>
        </is>
      </c>
      <c r="E34" s="18" t="inlineStr"/>
      <c r="F34" s="18" t="inlineStr"/>
      <c r="G34" s="18" t="inlineStr"/>
      <c r="H34" s="18" t="inlineStr"/>
    </row>
    <row r="35">
      <c r="A35" s="14" t="inlineStr">
        <is>
          <t>Product B</t>
        </is>
      </c>
      <c r="B35" s="14" t="inlineStr">
        <is>
          <t>Step 2</t>
        </is>
      </c>
      <c r="C35" s="14" t="inlineStr">
        <is>
          <t>Sub-category</t>
        </is>
      </c>
      <c r="D35" s="14" t="inlineStr">
        <is>
          <t>Same as RegPilot</t>
        </is>
      </c>
      <c r="E35" s="18" t="inlineStr"/>
      <c r="F35" s="18" t="inlineStr"/>
      <c r="G35" s="18" t="inlineStr"/>
      <c r="H35" s="18" t="inlineStr"/>
    </row>
    <row r="36">
      <c r="A36" s="14" t="inlineStr">
        <is>
          <t>Product B</t>
        </is>
      </c>
      <c r="B36" s="14" t="inlineStr">
        <is>
          <t>Step 2</t>
        </is>
      </c>
      <c r="C36" s="14" t="inlineStr">
        <is>
          <t>Brand</t>
        </is>
      </c>
      <c r="D36" s="14" t="inlineStr">
        <is>
          <t>Same text</t>
        </is>
      </c>
      <c r="E36" s="18" t="inlineStr"/>
      <c r="F36" s="18" t="inlineStr"/>
      <c r="G36" s="18" t="inlineStr"/>
      <c r="H36" s="18" t="inlineStr"/>
    </row>
    <row r="37">
      <c r="A37" s="14" t="inlineStr">
        <is>
          <t>Product B</t>
        </is>
      </c>
      <c r="B37" s="14" t="inlineStr">
        <is>
          <t>Step 3</t>
        </is>
      </c>
      <c r="C37" s="14" t="inlineStr">
        <is>
          <t>Certificate file</t>
        </is>
      </c>
      <c r="D37" s="14" t="inlineStr">
        <is>
          <t>Right file in the right section (Free Sale or GMP)</t>
        </is>
      </c>
      <c r="E37" s="18" t="inlineStr"/>
      <c r="F37" s="18" t="inlineStr"/>
      <c r="G37" s="18" t="inlineStr"/>
      <c r="H37" s="18" t="inlineStr"/>
    </row>
    <row r="38">
      <c r="A38" s="14" t="inlineStr">
        <is>
          <t>Product B</t>
        </is>
      </c>
      <c r="B38" s="14" t="inlineStr">
        <is>
          <t>Step 4</t>
        </is>
      </c>
      <c r="C38" s="14" t="inlineStr">
        <is>
          <t>Barcode (each variant)</t>
        </is>
      </c>
      <c r="D38" s="14" t="inlineStr">
        <is>
          <t>Digit by digit</t>
        </is>
      </c>
      <c r="E38" s="18" t="inlineStr"/>
      <c r="F38" s="18" t="inlineStr"/>
      <c r="G38" s="18" t="inlineStr"/>
      <c r="H38" s="18" t="inlineStr"/>
    </row>
    <row r="39">
      <c r="A39" s="14" t="inlineStr">
        <is>
          <t>Product B</t>
        </is>
      </c>
      <c r="B39" s="14" t="inlineStr">
        <is>
          <t>Step 4</t>
        </is>
      </c>
      <c r="C39" s="14" t="inlineStr">
        <is>
          <t>Colour / shade (each variant)</t>
        </is>
      </c>
      <c r="D39" s="14" t="inlineStr">
        <is>
          <t>Manufacturer's own code or name</t>
        </is>
      </c>
      <c r="E39" s="18" t="inlineStr"/>
      <c r="F39" s="18" t="inlineStr"/>
      <c r="G39" s="18" t="inlineStr"/>
      <c r="H39" s="18" t="inlineStr"/>
    </row>
    <row r="40">
      <c r="A40" s="14" t="inlineStr">
        <is>
          <t>Product B</t>
        </is>
      </c>
      <c r="B40" s="14" t="inlineStr">
        <is>
          <t>Step 4</t>
        </is>
      </c>
      <c r="C40" s="14" t="inlineStr">
        <is>
          <t>Scent / flavour (each variant)</t>
        </is>
      </c>
      <c r="D40" s="14" t="inlineStr">
        <is>
          <t>Manufacturer's own name or NA</t>
        </is>
      </c>
      <c r="E40" s="18" t="inlineStr"/>
      <c r="F40" s="18" t="inlineStr"/>
      <c r="G40" s="18" t="inlineStr"/>
      <c r="H40" s="18" t="inlineStr"/>
    </row>
    <row r="41">
      <c r="A41" s="14" t="inlineStr">
        <is>
          <t>Product B</t>
        </is>
      </c>
      <c r="B41" s="14" t="inlineStr">
        <is>
          <t>Step 4</t>
        </is>
      </c>
      <c r="C41" s="14" t="inlineStr">
        <is>
          <t>Size / volume (each variant)</t>
        </is>
      </c>
      <c r="D41" s="14" t="inlineStr">
        <is>
          <t>Number (Montaji may show two decimals)</t>
        </is>
      </c>
      <c r="E41" s="18" t="inlineStr"/>
      <c r="F41" s="18" t="inlineStr"/>
      <c r="G41" s="18" t="inlineStr"/>
      <c r="H41" s="18" t="inlineStr"/>
    </row>
    <row r="42">
      <c r="A42" s="14" t="inlineStr">
        <is>
          <t>Product B</t>
        </is>
      </c>
      <c r="B42" s="14" t="inlineStr">
        <is>
          <t>Step 4</t>
        </is>
      </c>
      <c r="C42" s="14" t="inlineStr">
        <is>
          <t>Unit (each variant)</t>
        </is>
      </c>
      <c r="D42" s="14" t="inlineStr">
        <is>
          <t>Same unit</t>
        </is>
      </c>
      <c r="E42" s="18" t="inlineStr"/>
      <c r="F42" s="18" t="inlineStr"/>
      <c r="G42" s="18" t="inlineStr"/>
      <c r="H42" s="18" t="inlineStr"/>
    </row>
    <row r="43">
      <c r="A43" s="14" t="inlineStr">
        <is>
          <t>Product B</t>
        </is>
      </c>
      <c r="B43" s="14" t="inlineStr">
        <is>
          <t>Step 4</t>
        </is>
      </c>
      <c r="C43" s="14" t="inlineStr">
        <is>
          <t>Has production date</t>
        </is>
      </c>
      <c r="D43" s="14" t="inlineStr">
        <is>
          <t>Yes/No as RegPilot</t>
        </is>
      </c>
      <c r="E43" s="18" t="inlineStr"/>
      <c r="F43" s="18" t="inlineStr"/>
      <c r="G43" s="18" t="inlineStr"/>
      <c r="H43" s="18" t="inlineStr"/>
    </row>
    <row r="44">
      <c r="A44" s="14" t="inlineStr">
        <is>
          <t>Product B</t>
        </is>
      </c>
      <c r="B44" s="14" t="inlineStr">
        <is>
          <t>Step 4</t>
        </is>
      </c>
      <c r="C44" s="14" t="inlineStr">
        <is>
          <t>Has expiry date</t>
        </is>
      </c>
      <c r="D44" s="14" t="inlineStr">
        <is>
          <t>Yes/No as RegPilot</t>
        </is>
      </c>
      <c r="E44" s="18" t="inlineStr"/>
      <c r="F44" s="18" t="inlineStr"/>
      <c r="G44" s="18" t="inlineStr"/>
      <c r="H44" s="18" t="inlineStr"/>
    </row>
    <row r="45">
      <c r="A45" s="14" t="inlineStr">
        <is>
          <t>Product B</t>
        </is>
      </c>
      <c r="B45" s="14" t="inlineStr">
        <is>
          <t>Step 4</t>
        </is>
      </c>
      <c r="C45" s="14" t="inlineStr">
        <is>
          <t>Has batch number</t>
        </is>
      </c>
      <c r="D45" s="14" t="inlineStr">
        <is>
          <t>Yes/No as RegPilot</t>
        </is>
      </c>
      <c r="E45" s="18" t="inlineStr"/>
      <c r="F45" s="18" t="inlineStr"/>
      <c r="G45" s="18" t="inlineStr"/>
      <c r="H45" s="18" t="inlineStr"/>
    </row>
    <row r="46">
      <c r="A46" s="14" t="inlineStr">
        <is>
          <t>Product B</t>
        </is>
      </c>
      <c r="B46" s="14" t="inlineStr">
        <is>
          <t>Step 4</t>
        </is>
      </c>
      <c r="C46" s="14" t="inlineStr">
        <is>
          <t>Has period after opening</t>
        </is>
      </c>
      <c r="D46" s="14" t="inlineStr">
        <is>
          <t>Yes/No as RegPilot</t>
        </is>
      </c>
      <c r="E46" s="18" t="inlineStr"/>
      <c r="F46" s="18" t="inlineStr"/>
      <c r="G46" s="18" t="inlineStr"/>
      <c r="H46" s="18" t="inlineStr"/>
    </row>
    <row r="47">
      <c r="A47" s="14" t="inlineStr">
        <is>
          <t>Product B</t>
        </is>
      </c>
      <c r="B47" s="14" t="inlineStr">
        <is>
          <t>Step 4</t>
        </is>
      </c>
      <c r="C47" s="14" t="inlineStr">
        <is>
          <t>Shelf life and period type</t>
        </is>
      </c>
      <c r="D47" s="14" t="inlineStr">
        <is>
          <t>Same number and period</t>
        </is>
      </c>
      <c r="E47" s="18" t="inlineStr"/>
      <c r="F47" s="18" t="inlineStr"/>
      <c r="G47" s="18" t="inlineStr"/>
      <c r="H47" s="18" t="inlineStr"/>
    </row>
    <row r="48">
      <c r="A48" s="14" t="inlineStr">
        <is>
          <t>Product B</t>
        </is>
      </c>
      <c r="B48" s="14" t="inlineStr">
        <is>
          <t>Step 4</t>
        </is>
      </c>
      <c r="C48" s="14" t="inlineStr">
        <is>
          <t>Ingredient count</t>
        </is>
      </c>
      <c r="D48" s="14" t="inlineStr">
        <is>
          <t>Montaji 'of N' equals RegPilot count (minus those left for manual entry)</t>
        </is>
      </c>
      <c r="E48" s="18" t="inlineStr"/>
      <c r="F48" s="18" t="inlineStr"/>
      <c r="G48" s="18" t="inlineStr"/>
      <c r="H48" s="18" t="inlineStr"/>
    </row>
    <row r="49">
      <c r="A49" s="14" t="inlineStr">
        <is>
          <t>Product B</t>
        </is>
      </c>
      <c r="B49" s="14" t="inlineStr">
        <is>
          <t>Step 4</t>
        </is>
      </c>
      <c r="C49" s="14" t="inlineStr">
        <is>
          <t>Ingredient names</t>
        </is>
      </c>
      <c r="D49" s="14" t="inlineStr">
        <is>
          <t>Same names; note any Montaji replacement</t>
        </is>
      </c>
      <c r="E49" s="18" t="inlineStr"/>
      <c r="F49" s="18" t="inlineStr"/>
      <c r="G49" s="18" t="inlineStr"/>
      <c r="H49" s="18" t="inlineStr"/>
    </row>
    <row r="50">
      <c r="A50" s="14" t="inlineStr">
        <is>
          <t>Product B</t>
        </is>
      </c>
      <c r="B50" s="14" t="inlineStr">
        <is>
          <t>Step 4</t>
        </is>
      </c>
      <c r="C50" s="14" t="inlineStr">
        <is>
          <t>Ingredient percentages</t>
        </is>
      </c>
      <c r="D50" s="14" t="inlineStr">
        <is>
          <t>Same values, '&lt;' kept where applicable, nothing rounded to 0</t>
        </is>
      </c>
      <c r="E50" s="18" t="inlineStr"/>
      <c r="F50" s="18" t="inlineStr"/>
      <c r="G50" s="18" t="inlineStr"/>
      <c r="H50" s="18" t="inlineStr"/>
    </row>
    <row r="51">
      <c r="A51" s="14" t="inlineStr">
        <is>
          <t>Product B</t>
        </is>
      </c>
      <c r="B51" s="14" t="inlineStr">
        <is>
          <t>Step 4</t>
        </is>
      </c>
      <c r="C51" s="14" t="inlineStr">
        <is>
          <t>Artwork file</t>
        </is>
      </c>
      <c r="D51" s="14" t="inlineStr">
        <is>
          <t>Right file on the right variant</t>
        </is>
      </c>
      <c r="E51" s="18" t="inlineStr"/>
      <c r="F51" s="18" t="inlineStr"/>
      <c r="G51" s="18" t="inlineStr"/>
      <c r="H51" s="18" t="inlineStr"/>
    </row>
    <row r="52">
      <c r="A52" s="14" t="inlineStr">
        <is>
          <t>Product B</t>
        </is>
      </c>
      <c r="B52" s="14" t="inlineStr">
        <is>
          <t>Step 4</t>
        </is>
      </c>
      <c r="C52" s="14" t="inlineStr">
        <is>
          <t>Ingredients Report file</t>
        </is>
      </c>
      <c r="D52" s="14" t="inlineStr">
        <is>
          <t>Right file on the right variant</t>
        </is>
      </c>
      <c r="E52" s="18" t="inlineStr"/>
      <c r="F52" s="18" t="inlineStr"/>
      <c r="G52" s="18" t="inlineStr"/>
      <c r="H52" s="18" t="inlineStr"/>
    </row>
    <row r="53">
      <c r="A53" s="14" t="inlineStr">
        <is>
          <t>Product B</t>
        </is>
      </c>
      <c r="B53" s="14" t="inlineStr">
        <is>
          <t>Step 4</t>
        </is>
      </c>
      <c r="C53" s="14" t="inlineStr">
        <is>
          <t>Save and Validate result</t>
        </is>
      </c>
      <c r="D53" s="14" t="inlineStr">
        <is>
          <t>Passed / the message shown</t>
        </is>
      </c>
      <c r="E53" s="18" t="inlineStr"/>
      <c r="F53" s="18" t="inlineStr"/>
      <c r="G53" s="18" t="inlineStr"/>
      <c r="H53" s="18" t="inlineStr"/>
    </row>
    <row r="56">
      <c r="A56" s="12" t="inlineStr">
        <is>
          <t>Product</t>
        </is>
      </c>
      <c r="B56" s="12" t="inlineStr">
        <is>
          <t>Step</t>
        </is>
      </c>
      <c r="C56" s="12" t="inlineStr">
        <is>
          <t>Field</t>
        </is>
      </c>
      <c r="D56" s="12" t="inlineStr">
        <is>
          <t>What to compare</t>
        </is>
      </c>
      <c r="E56" s="12" t="inlineStr">
        <is>
          <t>RegPilot value</t>
        </is>
      </c>
      <c r="F56" s="12" t="inlineStr">
        <is>
          <t>Montaji value</t>
        </is>
      </c>
      <c r="G56" s="12" t="inlineStr">
        <is>
          <t>Match?</t>
        </is>
      </c>
      <c r="H56" s="12" t="inlineStr">
        <is>
          <t>Notes</t>
        </is>
      </c>
    </row>
    <row r="57">
      <c r="A57" s="14" t="inlineStr">
        <is>
          <t>Product C</t>
        </is>
      </c>
      <c r="B57" s="14" t="inlineStr">
        <is>
          <t>Step 2</t>
        </is>
      </c>
      <c r="C57" s="14" t="inlineStr">
        <is>
          <t>Country of origin</t>
        </is>
      </c>
      <c r="D57" s="14" t="inlineStr">
        <is>
          <t>Same country, spelled as Montaji lists it</t>
        </is>
      </c>
      <c r="E57" s="18" t="inlineStr"/>
      <c r="F57" s="18" t="inlineStr"/>
      <c r="G57" s="18" t="inlineStr"/>
      <c r="H57" s="18" t="inlineStr"/>
    </row>
    <row r="58">
      <c r="A58" s="14" t="inlineStr">
        <is>
          <t>Product C</t>
        </is>
      </c>
      <c r="B58" s="14" t="inlineStr">
        <is>
          <t>Step 2</t>
        </is>
      </c>
      <c r="C58" s="14" t="inlineStr">
        <is>
          <t>Product name</t>
        </is>
      </c>
      <c r="D58" s="14" t="inlineStr">
        <is>
          <t>Identical text</t>
        </is>
      </c>
      <c r="E58" s="18" t="inlineStr"/>
      <c r="F58" s="18" t="inlineStr"/>
      <c r="G58" s="18" t="inlineStr"/>
      <c r="H58" s="18" t="inlineStr"/>
    </row>
    <row r="59">
      <c r="A59" s="14" t="inlineStr">
        <is>
          <t>Product C</t>
        </is>
      </c>
      <c r="B59" s="14" t="inlineStr">
        <is>
          <t>Step 2</t>
        </is>
      </c>
      <c r="C59" s="14" t="inlineStr">
        <is>
          <t>Group</t>
        </is>
      </c>
      <c r="D59" s="14" t="inlineStr">
        <is>
          <t>Same as RegPilot</t>
        </is>
      </c>
      <c r="E59" s="18" t="inlineStr"/>
      <c r="F59" s="18" t="inlineStr"/>
      <c r="G59" s="18" t="inlineStr"/>
      <c r="H59" s="18" t="inlineStr"/>
    </row>
    <row r="60">
      <c r="A60" s="14" t="inlineStr">
        <is>
          <t>Product C</t>
        </is>
      </c>
      <c r="B60" s="14" t="inlineStr">
        <is>
          <t>Step 2</t>
        </is>
      </c>
      <c r="C60" s="14" t="inlineStr">
        <is>
          <t>Category</t>
        </is>
      </c>
      <c r="D60" s="14" t="inlineStr">
        <is>
          <t>Same as RegPilot</t>
        </is>
      </c>
      <c r="E60" s="18" t="inlineStr"/>
      <c r="F60" s="18" t="inlineStr"/>
      <c r="G60" s="18" t="inlineStr"/>
      <c r="H60" s="18" t="inlineStr"/>
    </row>
    <row r="61">
      <c r="A61" s="14" t="inlineStr">
        <is>
          <t>Product C</t>
        </is>
      </c>
      <c r="B61" s="14" t="inlineStr">
        <is>
          <t>Step 2</t>
        </is>
      </c>
      <c r="C61" s="14" t="inlineStr">
        <is>
          <t>Sub-category</t>
        </is>
      </c>
      <c r="D61" s="14" t="inlineStr">
        <is>
          <t>Same as RegPilot</t>
        </is>
      </c>
      <c r="E61" s="18" t="inlineStr"/>
      <c r="F61" s="18" t="inlineStr"/>
      <c r="G61" s="18" t="inlineStr"/>
      <c r="H61" s="18" t="inlineStr"/>
    </row>
    <row r="62">
      <c r="A62" s="14" t="inlineStr">
        <is>
          <t>Product C</t>
        </is>
      </c>
      <c r="B62" s="14" t="inlineStr">
        <is>
          <t>Step 2</t>
        </is>
      </c>
      <c r="C62" s="14" t="inlineStr">
        <is>
          <t>Brand</t>
        </is>
      </c>
      <c r="D62" s="14" t="inlineStr">
        <is>
          <t>Same text</t>
        </is>
      </c>
      <c r="E62" s="18" t="inlineStr"/>
      <c r="F62" s="18" t="inlineStr"/>
      <c r="G62" s="18" t="inlineStr"/>
      <c r="H62" s="18" t="inlineStr"/>
    </row>
    <row r="63">
      <c r="A63" s="14" t="inlineStr">
        <is>
          <t>Product C</t>
        </is>
      </c>
      <c r="B63" s="14" t="inlineStr">
        <is>
          <t>Step 3</t>
        </is>
      </c>
      <c r="C63" s="14" t="inlineStr">
        <is>
          <t>Certificate file</t>
        </is>
      </c>
      <c r="D63" s="14" t="inlineStr">
        <is>
          <t>Right file in the right section (Free Sale or GMP)</t>
        </is>
      </c>
      <c r="E63" s="18" t="inlineStr"/>
      <c r="F63" s="18" t="inlineStr"/>
      <c r="G63" s="18" t="inlineStr"/>
      <c r="H63" s="18" t="inlineStr"/>
    </row>
    <row r="64">
      <c r="A64" s="14" t="inlineStr">
        <is>
          <t>Product C</t>
        </is>
      </c>
      <c r="B64" s="14" t="inlineStr">
        <is>
          <t>Step 4</t>
        </is>
      </c>
      <c r="C64" s="14" t="inlineStr">
        <is>
          <t>Barcode (each variant)</t>
        </is>
      </c>
      <c r="D64" s="14" t="inlineStr">
        <is>
          <t>Digit by digit</t>
        </is>
      </c>
      <c r="E64" s="18" t="inlineStr"/>
      <c r="F64" s="18" t="inlineStr"/>
      <c r="G64" s="18" t="inlineStr"/>
      <c r="H64" s="18" t="inlineStr"/>
    </row>
    <row r="65">
      <c r="A65" s="14" t="inlineStr">
        <is>
          <t>Product C</t>
        </is>
      </c>
      <c r="B65" s="14" t="inlineStr">
        <is>
          <t>Step 4</t>
        </is>
      </c>
      <c r="C65" s="14" t="inlineStr">
        <is>
          <t>Colour / shade (each variant)</t>
        </is>
      </c>
      <c r="D65" s="14" t="inlineStr">
        <is>
          <t>Manufacturer's own code or name</t>
        </is>
      </c>
      <c r="E65" s="18" t="inlineStr"/>
      <c r="F65" s="18" t="inlineStr"/>
      <c r="G65" s="18" t="inlineStr"/>
      <c r="H65" s="18" t="inlineStr"/>
    </row>
    <row r="66">
      <c r="A66" s="14" t="inlineStr">
        <is>
          <t>Product C</t>
        </is>
      </c>
      <c r="B66" s="14" t="inlineStr">
        <is>
          <t>Step 4</t>
        </is>
      </c>
      <c r="C66" s="14" t="inlineStr">
        <is>
          <t>Scent / flavour (each variant)</t>
        </is>
      </c>
      <c r="D66" s="14" t="inlineStr">
        <is>
          <t>Manufacturer's own name or NA</t>
        </is>
      </c>
      <c r="E66" s="18" t="inlineStr"/>
      <c r="F66" s="18" t="inlineStr"/>
      <c r="G66" s="18" t="inlineStr"/>
      <c r="H66" s="18" t="inlineStr"/>
    </row>
    <row r="67">
      <c r="A67" s="14" t="inlineStr">
        <is>
          <t>Product C</t>
        </is>
      </c>
      <c r="B67" s="14" t="inlineStr">
        <is>
          <t>Step 4</t>
        </is>
      </c>
      <c r="C67" s="14" t="inlineStr">
        <is>
          <t>Size / volume (each variant)</t>
        </is>
      </c>
      <c r="D67" s="14" t="inlineStr">
        <is>
          <t>Number (Montaji may show two decimals)</t>
        </is>
      </c>
      <c r="E67" s="18" t="inlineStr"/>
      <c r="F67" s="18" t="inlineStr"/>
      <c r="G67" s="18" t="inlineStr"/>
      <c r="H67" s="18" t="inlineStr"/>
    </row>
    <row r="68">
      <c r="A68" s="14" t="inlineStr">
        <is>
          <t>Product C</t>
        </is>
      </c>
      <c r="B68" s="14" t="inlineStr">
        <is>
          <t>Step 4</t>
        </is>
      </c>
      <c r="C68" s="14" t="inlineStr">
        <is>
          <t>Unit (each variant)</t>
        </is>
      </c>
      <c r="D68" s="14" t="inlineStr">
        <is>
          <t>Same unit</t>
        </is>
      </c>
      <c r="E68" s="18" t="inlineStr"/>
      <c r="F68" s="18" t="inlineStr"/>
      <c r="G68" s="18" t="inlineStr"/>
      <c r="H68" s="18" t="inlineStr"/>
    </row>
    <row r="69">
      <c r="A69" s="14" t="inlineStr">
        <is>
          <t>Product C</t>
        </is>
      </c>
      <c r="B69" s="14" t="inlineStr">
        <is>
          <t>Step 4</t>
        </is>
      </c>
      <c r="C69" s="14" t="inlineStr">
        <is>
          <t>Has production date</t>
        </is>
      </c>
      <c r="D69" s="14" t="inlineStr">
        <is>
          <t>Yes/No as RegPilot</t>
        </is>
      </c>
      <c r="E69" s="18" t="inlineStr"/>
      <c r="F69" s="18" t="inlineStr"/>
      <c r="G69" s="18" t="inlineStr"/>
      <c r="H69" s="18" t="inlineStr"/>
    </row>
    <row r="70">
      <c r="A70" s="14" t="inlineStr">
        <is>
          <t>Product C</t>
        </is>
      </c>
      <c r="B70" s="14" t="inlineStr">
        <is>
          <t>Step 4</t>
        </is>
      </c>
      <c r="C70" s="14" t="inlineStr">
        <is>
          <t>Has expiry date</t>
        </is>
      </c>
      <c r="D70" s="14" t="inlineStr">
        <is>
          <t>Yes/No as RegPilot</t>
        </is>
      </c>
      <c r="E70" s="18" t="inlineStr"/>
      <c r="F70" s="18" t="inlineStr"/>
      <c r="G70" s="18" t="inlineStr"/>
      <c r="H70" s="18" t="inlineStr"/>
    </row>
    <row r="71">
      <c r="A71" s="14" t="inlineStr">
        <is>
          <t>Product C</t>
        </is>
      </c>
      <c r="B71" s="14" t="inlineStr">
        <is>
          <t>Step 4</t>
        </is>
      </c>
      <c r="C71" s="14" t="inlineStr">
        <is>
          <t>Has batch number</t>
        </is>
      </c>
      <c r="D71" s="14" t="inlineStr">
        <is>
          <t>Yes/No as RegPilot</t>
        </is>
      </c>
      <c r="E71" s="18" t="inlineStr"/>
      <c r="F71" s="18" t="inlineStr"/>
      <c r="G71" s="18" t="inlineStr"/>
      <c r="H71" s="18" t="inlineStr"/>
    </row>
    <row r="72">
      <c r="A72" s="14" t="inlineStr">
        <is>
          <t>Product C</t>
        </is>
      </c>
      <c r="B72" s="14" t="inlineStr">
        <is>
          <t>Step 4</t>
        </is>
      </c>
      <c r="C72" s="14" t="inlineStr">
        <is>
          <t>Has period after opening</t>
        </is>
      </c>
      <c r="D72" s="14" t="inlineStr">
        <is>
          <t>Yes/No as RegPilot</t>
        </is>
      </c>
      <c r="E72" s="18" t="inlineStr"/>
      <c r="F72" s="18" t="inlineStr"/>
      <c r="G72" s="18" t="inlineStr"/>
      <c r="H72" s="18" t="inlineStr"/>
    </row>
    <row r="73">
      <c r="A73" s="14" t="inlineStr">
        <is>
          <t>Product C</t>
        </is>
      </c>
      <c r="B73" s="14" t="inlineStr">
        <is>
          <t>Step 4</t>
        </is>
      </c>
      <c r="C73" s="14" t="inlineStr">
        <is>
          <t>Shelf life and period type</t>
        </is>
      </c>
      <c r="D73" s="14" t="inlineStr">
        <is>
          <t>Same number and period</t>
        </is>
      </c>
      <c r="E73" s="18" t="inlineStr"/>
      <c r="F73" s="18" t="inlineStr"/>
      <c r="G73" s="18" t="inlineStr"/>
      <c r="H73" s="18" t="inlineStr"/>
    </row>
    <row r="74">
      <c r="A74" s="14" t="inlineStr">
        <is>
          <t>Product C</t>
        </is>
      </c>
      <c r="B74" s="14" t="inlineStr">
        <is>
          <t>Step 4</t>
        </is>
      </c>
      <c r="C74" s="14" t="inlineStr">
        <is>
          <t>Ingredient count</t>
        </is>
      </c>
      <c r="D74" s="14" t="inlineStr">
        <is>
          <t>Montaji 'of N' equals RegPilot count (minus those left for manual entry)</t>
        </is>
      </c>
      <c r="E74" s="18" t="inlineStr"/>
      <c r="F74" s="18" t="inlineStr"/>
      <c r="G74" s="18" t="inlineStr"/>
      <c r="H74" s="18" t="inlineStr"/>
    </row>
    <row r="75">
      <c r="A75" s="14" t="inlineStr">
        <is>
          <t>Product C</t>
        </is>
      </c>
      <c r="B75" s="14" t="inlineStr">
        <is>
          <t>Step 4</t>
        </is>
      </c>
      <c r="C75" s="14" t="inlineStr">
        <is>
          <t>Ingredient names</t>
        </is>
      </c>
      <c r="D75" s="14" t="inlineStr">
        <is>
          <t>Same names; note any Montaji replacement</t>
        </is>
      </c>
      <c r="E75" s="18" t="inlineStr"/>
      <c r="F75" s="18" t="inlineStr"/>
      <c r="G75" s="18" t="inlineStr"/>
      <c r="H75" s="18" t="inlineStr"/>
    </row>
    <row r="76">
      <c r="A76" s="14" t="inlineStr">
        <is>
          <t>Product C</t>
        </is>
      </c>
      <c r="B76" s="14" t="inlineStr">
        <is>
          <t>Step 4</t>
        </is>
      </c>
      <c r="C76" s="14" t="inlineStr">
        <is>
          <t>Ingredient percentages</t>
        </is>
      </c>
      <c r="D76" s="14" t="inlineStr">
        <is>
          <t>Same values, '&lt;' kept where applicable, nothing rounded to 0</t>
        </is>
      </c>
      <c r="E76" s="18" t="inlineStr"/>
      <c r="F76" s="18" t="inlineStr"/>
      <c r="G76" s="18" t="inlineStr"/>
      <c r="H76" s="18" t="inlineStr"/>
    </row>
    <row r="77">
      <c r="A77" s="14" t="inlineStr">
        <is>
          <t>Product C</t>
        </is>
      </c>
      <c r="B77" s="14" t="inlineStr">
        <is>
          <t>Step 4</t>
        </is>
      </c>
      <c r="C77" s="14" t="inlineStr">
        <is>
          <t>Artwork file</t>
        </is>
      </c>
      <c r="D77" s="14" t="inlineStr">
        <is>
          <t>Right file on the right variant</t>
        </is>
      </c>
      <c r="E77" s="18" t="inlineStr"/>
      <c r="F77" s="18" t="inlineStr"/>
      <c r="G77" s="18" t="inlineStr"/>
      <c r="H77" s="18" t="inlineStr"/>
    </row>
    <row r="78">
      <c r="A78" s="14" t="inlineStr">
        <is>
          <t>Product C</t>
        </is>
      </c>
      <c r="B78" s="14" t="inlineStr">
        <is>
          <t>Step 4</t>
        </is>
      </c>
      <c r="C78" s="14" t="inlineStr">
        <is>
          <t>Ingredients Report file</t>
        </is>
      </c>
      <c r="D78" s="14" t="inlineStr">
        <is>
          <t>Right file on the right variant</t>
        </is>
      </c>
      <c r="E78" s="18" t="inlineStr"/>
      <c r="F78" s="18" t="inlineStr"/>
      <c r="G78" s="18" t="inlineStr"/>
      <c r="H78" s="18" t="inlineStr"/>
    </row>
    <row r="79">
      <c r="A79" s="14" t="inlineStr">
        <is>
          <t>Product C</t>
        </is>
      </c>
      <c r="B79" s="14" t="inlineStr">
        <is>
          <t>Step 4</t>
        </is>
      </c>
      <c r="C79" s="14" t="inlineStr">
        <is>
          <t>Save and Validate result</t>
        </is>
      </c>
      <c r="D79" s="14" t="inlineStr">
        <is>
          <t>Passed / the message shown</t>
        </is>
      </c>
      <c r="E79" s="18" t="inlineStr"/>
      <c r="F79" s="18" t="inlineStr"/>
      <c r="G79" s="18" t="inlineStr"/>
      <c r="H79" s="18" t="inlineStr"/>
    </row>
  </sheetData>
  <dataValidations count="1">
    <dataValidation sqref="G5 G6 G7 G8 G9 G10 G11 G12 G13 G14 G15 G16 G17 G18 G19 G20 G21 G22 G23 G24 G25 G26 G27 G31 G32 G33 G34 G35 G36 G37 G38 G39 G40 G41 G42 G43 G44 G45 G46 G47 G48 G49 G50 G51 G52 G53 G57 G58 G59 G60 G61 G62 G63 G64 G65 G66 G67 G68 G69 G70 G71 G72 G73 G74 G75 G76 G77 G78 G79"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2" t="inlineStr">
        <is>
          <t>Topic</t>
        </is>
      </c>
      <c r="B1" s="12" t="inlineStr">
        <is>
          <t>What is known</t>
        </is>
      </c>
    </row>
    <row r="2">
      <c r="A2" s="16" t="inlineStr">
        <is>
          <t>Detergents, Biocides, Health Supplements</t>
        </is>
      </c>
      <c r="B2" s="14" t="inlineStr">
        <is>
          <t>Taxonomy not built; you will send a master sheet. Until then classification is manual for these groups.</t>
        </is>
      </c>
    </row>
    <row r="3">
      <c r="A3" s="16" t="inlineStr">
        <is>
          <t>Product Image upload</t>
        </is>
      </c>
      <c r="B3" s="14" t="inlineStr">
        <is>
          <t>Not collected or uploaded (optional on Montaji, planned for later).</t>
        </is>
      </c>
    </row>
    <row r="4">
      <c r="A4" s="16" t="inlineStr">
        <is>
          <t>Laboratory Test Report</t>
        </is>
      </c>
      <c r="B4" s="14" t="inlineStr">
        <is>
          <t>Ignored on purpose.</t>
        </is>
      </c>
    </row>
    <row r="5">
      <c r="A5" s="16" t="inlineStr">
        <is>
          <t>GMP certificate presence</t>
        </is>
      </c>
      <c r="B5" s="14" t="inlineStr">
        <is>
          <t>Nothing warns when a UAE product has no GMP certificate.</t>
        </is>
      </c>
    </row>
    <row r="6">
      <c r="A6" s="16" t="inlineStr">
        <is>
          <t>Certificate validity dates</t>
        </is>
      </c>
      <c r="B6" s="14" t="inlineStr">
        <is>
          <t>Expiry of a certificate is not checked.</t>
        </is>
      </c>
    </row>
    <row r="7">
      <c r="A7" s="16" t="inlineStr">
        <is>
          <t>'Other' ingredient names</t>
        </is>
      </c>
      <c r="B7" s="14" t="inlineStr">
        <is>
          <t>Whether Montaji swaps ***Other*** for master-list names after validation is not yet confirmed.</t>
        </is>
      </c>
    </row>
    <row r="8">
      <c r="A8" s="16" t="inlineStr">
        <is>
          <t>Ingredients without percentage</t>
        </is>
      </c>
      <c r="B8" s="14" t="inlineStr">
        <is>
          <t>Montaji's import rejects them, so they are always left for you.</t>
        </is>
      </c>
    </row>
    <row r="9">
      <c r="A9" s="16" t="inlineStr">
        <is>
          <t>Existing product base</t>
        </is>
      </c>
      <c r="B9" s="14" t="inlineStr">
        <is>
          <t>Choosing an existing base on Step 2 is not supported; the extension creates a new one.</t>
        </is>
      </c>
    </row>
    <row r="10">
      <c r="A10" s="16" t="inlineStr">
        <is>
          <t>Running Fill twice</t>
        </is>
      </c>
      <c r="B10" s="14" t="inlineStr">
        <is>
          <t>Behaviour on an already filled variant/ingredients is under test (see S4 and ING cases).</t>
        </is>
      </c>
    </row>
    <row r="11">
      <c r="A11" s="16" t="inlineStr">
        <is>
          <t>After an extension reload</t>
        </is>
      </c>
      <c r="B11" s="14" t="inlineStr">
        <is>
          <t>Both the RegPilot tab and the Montaji tab must be refreshed.</t>
        </is>
      </c>
    </row>
    <row r="12">
      <c r="A12" s="16" t="inlineStr">
        <is>
          <t>Unsaved edits</t>
        </is>
      </c>
      <c r="B12" s="14" t="inlineStr">
        <is>
          <t>Leaving the review form with unsaved edits has no warning (to be confirmed in REV tests).</t>
        </is>
      </c>
    </row>
    <row r="13">
      <c r="A13" s="16" t="inlineStr">
        <is>
          <t>Submission</t>
        </is>
      </c>
      <c r="B13" s="14" t="inlineStr">
        <is>
          <t>The extension never submits. Capturing Montaji reference and status is on the to-do list and will make the table 5 columns.</t>
        </is>
      </c>
    </row>
    <row r="14">
      <c r="A14" s="16" t="inlineStr">
        <is>
          <t>Team features</t>
        </is>
      </c>
      <c r="B14" s="14" t="inlineStr">
        <is>
          <t>Invites and roles are not built (single role per company).</t>
        </is>
      </c>
    </row>
    <row r="15">
      <c r="A15" s="16" t="inlineStr">
        <is>
          <t>Sequence numbers</t>
        </is>
      </c>
      <c r="B15" s="14" t="inlineStr">
        <is>
          <t>Number = highest existing + 1, so a deleted newest product's number can be reused.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2026-10-16T21:52:51Z</dcterms:created>
  <dcterms:modified xsi:type="dcterms:W3CDTF">2026-10-16T21:52:51Z</dcterms:modified>
</cp:coreProperties>
</file>